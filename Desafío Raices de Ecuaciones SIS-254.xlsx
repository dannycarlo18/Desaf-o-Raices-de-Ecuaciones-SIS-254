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B574BB8C-B740-454B-8906-532BA9CEDF2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roblema 1" sheetId="1" r:id="rId1"/>
    <sheet name="Problema 2" sheetId="2" r:id="rId2"/>
    <sheet name="Problema 3" sheetId="3" r:id="rId3"/>
    <sheet name="Problema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3" l="1"/>
  <c r="F59" i="3"/>
  <c r="E59" i="3"/>
  <c r="G58" i="3"/>
  <c r="F58" i="3"/>
  <c r="E58" i="3"/>
  <c r="G57" i="3"/>
  <c r="F57" i="3"/>
  <c r="E57" i="3"/>
  <c r="E48" i="2"/>
  <c r="E47" i="2"/>
  <c r="E46" i="2"/>
  <c r="F62" i="1"/>
  <c r="E62" i="1"/>
  <c r="F61" i="1"/>
  <c r="E61" i="1"/>
  <c r="F60" i="1"/>
  <c r="E60" i="1"/>
  <c r="D10" i="4"/>
  <c r="G15" i="4"/>
  <c r="D9" i="4"/>
  <c r="E40" i="4"/>
  <c r="E39" i="4"/>
  <c r="D32" i="4"/>
  <c r="E32" i="4"/>
  <c r="C33" i="4" s="1"/>
  <c r="C16" i="4"/>
  <c r="F15" i="4"/>
  <c r="E15" i="4"/>
  <c r="O49" i="3"/>
  <c r="O48" i="3"/>
  <c r="J49" i="3"/>
  <c r="J48" i="3"/>
  <c r="D53" i="3"/>
  <c r="E53" i="3"/>
  <c r="D51" i="3"/>
  <c r="E51" i="3"/>
  <c r="D52" i="3"/>
  <c r="E52" i="3"/>
  <c r="D50" i="3"/>
  <c r="E50" i="3"/>
  <c r="E49" i="3"/>
  <c r="E48" i="3"/>
  <c r="D9" i="3"/>
  <c r="D54" i="1"/>
  <c r="E39" i="2"/>
  <c r="E38" i="2"/>
  <c r="D8" i="2"/>
  <c r="J53" i="1"/>
  <c r="J52" i="1"/>
  <c r="E53" i="1"/>
  <c r="E52" i="1"/>
  <c r="H43" i="1"/>
  <c r="I43" i="1"/>
  <c r="G44" i="1"/>
  <c r="K24" i="1"/>
  <c r="N23" i="1"/>
  <c r="M23" i="1"/>
  <c r="L23" i="1"/>
  <c r="J24" i="1" s="1"/>
  <c r="M39" i="3"/>
  <c r="L39" i="3"/>
  <c r="K40" i="3" s="1"/>
  <c r="I39" i="3"/>
  <c r="H39" i="3"/>
  <c r="G40" i="3" s="1"/>
  <c r="S30" i="3"/>
  <c r="T30" i="3"/>
  <c r="U30" i="3"/>
  <c r="V30" i="3"/>
  <c r="R30" i="3"/>
  <c r="Q30" i="3"/>
  <c r="S29" i="3"/>
  <c r="T29" i="3"/>
  <c r="U29" i="3"/>
  <c r="V29" i="3"/>
  <c r="R29" i="3"/>
  <c r="Q29" i="3"/>
  <c r="S28" i="3"/>
  <c r="T28" i="3"/>
  <c r="U28" i="3"/>
  <c r="V28" i="3"/>
  <c r="R28" i="3"/>
  <c r="Q28" i="3"/>
  <c r="S27" i="3"/>
  <c r="T27" i="3"/>
  <c r="U27" i="3"/>
  <c r="V27" i="3"/>
  <c r="R27" i="3"/>
  <c r="Q27" i="3"/>
  <c r="S26" i="3"/>
  <c r="T26" i="3"/>
  <c r="U26" i="3"/>
  <c r="V26" i="3"/>
  <c r="R26" i="3"/>
  <c r="Q26" i="3"/>
  <c r="S25" i="3"/>
  <c r="T25" i="3"/>
  <c r="U25" i="3"/>
  <c r="V25" i="3"/>
  <c r="R25" i="3"/>
  <c r="Q25" i="3"/>
  <c r="S24" i="3"/>
  <c r="T24" i="3"/>
  <c r="U24" i="3"/>
  <c r="V24" i="3"/>
  <c r="R24" i="3"/>
  <c r="Q24" i="3"/>
  <c r="S23" i="3"/>
  <c r="T23" i="3"/>
  <c r="U23" i="3"/>
  <c r="V23" i="3"/>
  <c r="R23" i="3"/>
  <c r="Q23" i="3"/>
  <c r="S22" i="3"/>
  <c r="T22" i="3"/>
  <c r="U22" i="3"/>
  <c r="V22" i="3"/>
  <c r="R22" i="3"/>
  <c r="Q22" i="3"/>
  <c r="L30" i="3"/>
  <c r="M30" i="3"/>
  <c r="N30" i="3"/>
  <c r="O30" i="3"/>
  <c r="K30" i="3"/>
  <c r="J30" i="3"/>
  <c r="L29" i="3"/>
  <c r="M29" i="3"/>
  <c r="N29" i="3"/>
  <c r="O29" i="3"/>
  <c r="K29" i="3"/>
  <c r="J29" i="3"/>
  <c r="L28" i="3"/>
  <c r="M28" i="3"/>
  <c r="N28" i="3"/>
  <c r="O28" i="3"/>
  <c r="K28" i="3"/>
  <c r="J28" i="3"/>
  <c r="L27" i="3"/>
  <c r="M27" i="3"/>
  <c r="N27" i="3"/>
  <c r="O27" i="3"/>
  <c r="K27" i="3"/>
  <c r="J27" i="3"/>
  <c r="L26" i="3"/>
  <c r="M26" i="3"/>
  <c r="N26" i="3"/>
  <c r="O26" i="3"/>
  <c r="K26" i="3"/>
  <c r="J26" i="3"/>
  <c r="L25" i="3"/>
  <c r="M25" i="3"/>
  <c r="N25" i="3"/>
  <c r="O25" i="3"/>
  <c r="K25" i="3"/>
  <c r="J25" i="3"/>
  <c r="L24" i="3"/>
  <c r="M24" i="3"/>
  <c r="N24" i="3"/>
  <c r="O24" i="3"/>
  <c r="K24" i="3"/>
  <c r="J24" i="3"/>
  <c r="L23" i="3"/>
  <c r="M23" i="3"/>
  <c r="N23" i="3"/>
  <c r="O23" i="3"/>
  <c r="K23" i="3"/>
  <c r="J23" i="3"/>
  <c r="L22" i="3"/>
  <c r="M22" i="3"/>
  <c r="N22" i="3"/>
  <c r="O22" i="3"/>
  <c r="K22" i="3"/>
  <c r="J22" i="3"/>
  <c r="U21" i="3"/>
  <c r="T21" i="3"/>
  <c r="S21" i="3"/>
  <c r="N21" i="3"/>
  <c r="M21" i="3"/>
  <c r="L21" i="3"/>
  <c r="E32" i="3"/>
  <c r="F32" i="3"/>
  <c r="G32" i="3"/>
  <c r="H32" i="3"/>
  <c r="D32" i="3"/>
  <c r="C32" i="3"/>
  <c r="E31" i="3"/>
  <c r="F31" i="3"/>
  <c r="G31" i="3"/>
  <c r="H31" i="3"/>
  <c r="D31" i="3"/>
  <c r="C31" i="3"/>
  <c r="E30" i="3"/>
  <c r="F30" i="3"/>
  <c r="G30" i="3"/>
  <c r="H30" i="3"/>
  <c r="D30" i="3"/>
  <c r="C30" i="3"/>
  <c r="E29" i="3"/>
  <c r="F29" i="3"/>
  <c r="G29" i="3"/>
  <c r="H29" i="3"/>
  <c r="D29" i="3"/>
  <c r="C29" i="3"/>
  <c r="E28" i="3"/>
  <c r="F28" i="3"/>
  <c r="G28" i="3"/>
  <c r="H28" i="3"/>
  <c r="D28" i="3"/>
  <c r="C28" i="3"/>
  <c r="E27" i="3"/>
  <c r="F27" i="3"/>
  <c r="G27" i="3"/>
  <c r="H27" i="3"/>
  <c r="D27" i="3"/>
  <c r="C27" i="3"/>
  <c r="E26" i="3"/>
  <c r="F26" i="3"/>
  <c r="G26" i="3"/>
  <c r="H26" i="3"/>
  <c r="D26" i="3"/>
  <c r="C26" i="3"/>
  <c r="E25" i="3"/>
  <c r="F25" i="3"/>
  <c r="G25" i="3"/>
  <c r="H25" i="3"/>
  <c r="E24" i="3"/>
  <c r="D25" i="3"/>
  <c r="C25" i="3"/>
  <c r="D24" i="3"/>
  <c r="C24" i="3"/>
  <c r="D23" i="3"/>
  <c r="C23" i="3"/>
  <c r="D22" i="3"/>
  <c r="C22" i="3"/>
  <c r="E21" i="3"/>
  <c r="C41" i="3"/>
  <c r="D41" i="3"/>
  <c r="E41" i="3"/>
  <c r="C42" i="3"/>
  <c r="D42" i="3"/>
  <c r="E42" i="3"/>
  <c r="D40" i="3"/>
  <c r="E40" i="3"/>
  <c r="C40" i="3"/>
  <c r="E39" i="3"/>
  <c r="D39" i="3"/>
  <c r="G22" i="3"/>
  <c r="G21" i="3"/>
  <c r="F21" i="3"/>
  <c r="D16" i="3"/>
  <c r="D15" i="3"/>
  <c r="D13" i="3"/>
  <c r="D12" i="3"/>
  <c r="D10" i="3"/>
  <c r="E29" i="2"/>
  <c r="D29" i="2"/>
  <c r="C30" i="2" s="1"/>
  <c r="F17" i="2"/>
  <c r="D18" i="2"/>
  <c r="G18" i="2" s="1"/>
  <c r="G17" i="2"/>
  <c r="D9" i="2"/>
  <c r="E17" i="2"/>
  <c r="E43" i="1"/>
  <c r="D43" i="1"/>
  <c r="C44" i="1" s="1"/>
  <c r="D24" i="1"/>
  <c r="G24" i="1" s="1"/>
  <c r="G23" i="1"/>
  <c r="F23" i="1"/>
  <c r="E23" i="1"/>
  <c r="D15" i="1"/>
  <c r="D18" i="1"/>
  <c r="D19" i="1"/>
  <c r="D16" i="1"/>
  <c r="D41" i="4" l="1"/>
  <c r="D33" i="4"/>
  <c r="E33" i="4"/>
  <c r="H15" i="4"/>
  <c r="D16" i="4"/>
  <c r="E16" i="4"/>
  <c r="F16" i="4"/>
  <c r="N50" i="3"/>
  <c r="I50" i="3"/>
  <c r="D30" i="2"/>
  <c r="E30" i="2"/>
  <c r="D40" i="2"/>
  <c r="I54" i="1"/>
  <c r="D44" i="1"/>
  <c r="E44" i="1"/>
  <c r="L24" i="1"/>
  <c r="M24" i="1"/>
  <c r="K25" i="1"/>
  <c r="N24" i="1"/>
  <c r="I44" i="1"/>
  <c r="H44" i="1"/>
  <c r="G45" i="1" s="1"/>
  <c r="O23" i="1"/>
  <c r="M40" i="3"/>
  <c r="L40" i="3"/>
  <c r="K41" i="3" s="1"/>
  <c r="I40" i="3"/>
  <c r="H40" i="3"/>
  <c r="G41" i="3" s="1"/>
  <c r="V21" i="3"/>
  <c r="O21" i="3"/>
  <c r="H21" i="3"/>
  <c r="H17" i="2"/>
  <c r="C18" i="2"/>
  <c r="C24" i="1"/>
  <c r="H23" i="1"/>
  <c r="E41" i="4" l="1"/>
  <c r="D42" i="4" s="1"/>
  <c r="C34" i="4"/>
  <c r="E48" i="4" s="1"/>
  <c r="C17" i="4"/>
  <c r="H16" i="4"/>
  <c r="D17" i="4"/>
  <c r="G16" i="4"/>
  <c r="O50" i="3"/>
  <c r="N51" i="3" s="1"/>
  <c r="J50" i="3"/>
  <c r="I51" i="3" s="1"/>
  <c r="E40" i="2"/>
  <c r="D41" i="2" s="1"/>
  <c r="C31" i="2"/>
  <c r="J54" i="1"/>
  <c r="I55" i="1" s="1"/>
  <c r="E54" i="1"/>
  <c r="D55" i="1" s="1"/>
  <c r="K26" i="1"/>
  <c r="N25" i="1"/>
  <c r="J25" i="1"/>
  <c r="O24" i="1"/>
  <c r="C45" i="1"/>
  <c r="I45" i="1"/>
  <c r="H45" i="1"/>
  <c r="G46" i="1" s="1"/>
  <c r="M41" i="3"/>
  <c r="L41" i="3"/>
  <c r="K42" i="3" s="1"/>
  <c r="I41" i="3"/>
  <c r="H41" i="3"/>
  <c r="G42" i="3" s="1"/>
  <c r="E22" i="3"/>
  <c r="F22" i="3"/>
  <c r="C19" i="2"/>
  <c r="E18" i="2"/>
  <c r="F18" i="2"/>
  <c r="C25" i="1"/>
  <c r="E24" i="1"/>
  <c r="F24" i="1"/>
  <c r="E42" i="4" l="1"/>
  <c r="D43" i="4"/>
  <c r="D34" i="4"/>
  <c r="E34" i="4"/>
  <c r="D18" i="4"/>
  <c r="G18" i="4" s="1"/>
  <c r="G17" i="4"/>
  <c r="E17" i="4"/>
  <c r="F17" i="4"/>
  <c r="O51" i="3"/>
  <c r="N52" i="3" s="1"/>
  <c r="J51" i="3"/>
  <c r="I52" i="3" s="1"/>
  <c r="D31" i="2"/>
  <c r="E31" i="2"/>
  <c r="C32" i="2"/>
  <c r="E41" i="2"/>
  <c r="D42" i="2"/>
  <c r="E42" i="2" s="1"/>
  <c r="J55" i="1"/>
  <c r="I56" i="1" s="1"/>
  <c r="J56" i="1" s="1"/>
  <c r="E55" i="1"/>
  <c r="D56" i="1" s="1"/>
  <c r="E56" i="1" s="1"/>
  <c r="H46" i="1"/>
  <c r="I46" i="1"/>
  <c r="D45" i="1"/>
  <c r="E45" i="1"/>
  <c r="L25" i="1"/>
  <c r="M25" i="1"/>
  <c r="K27" i="1"/>
  <c r="N27" i="1" s="1"/>
  <c r="N26" i="1"/>
  <c r="M42" i="3"/>
  <c r="L42" i="3"/>
  <c r="I42" i="3"/>
  <c r="H42" i="3"/>
  <c r="H22" i="3"/>
  <c r="E23" i="3"/>
  <c r="F23" i="3"/>
  <c r="D19" i="2"/>
  <c r="G19" i="2" s="1"/>
  <c r="H18" i="2"/>
  <c r="C20" i="2"/>
  <c r="E19" i="2"/>
  <c r="F19" i="2"/>
  <c r="D25" i="1"/>
  <c r="G25" i="1" s="1"/>
  <c r="H24" i="1"/>
  <c r="C26" i="1"/>
  <c r="E25" i="1"/>
  <c r="F25" i="1"/>
  <c r="E49" i="4" l="1"/>
  <c r="E43" i="4"/>
  <c r="C18" i="4"/>
  <c r="H17" i="4"/>
  <c r="O52" i="3"/>
  <c r="N53" i="3" s="1"/>
  <c r="O53" i="3" s="1"/>
  <c r="J52" i="3"/>
  <c r="I53" i="3" s="1"/>
  <c r="J53" i="3" s="1"/>
  <c r="D32" i="2"/>
  <c r="E32" i="2"/>
  <c r="C27" i="1"/>
  <c r="F26" i="1"/>
  <c r="J26" i="1"/>
  <c r="O25" i="1"/>
  <c r="H23" i="3"/>
  <c r="G24" i="3"/>
  <c r="G23" i="3"/>
  <c r="D20" i="2"/>
  <c r="G20" i="2" s="1"/>
  <c r="H19" i="2"/>
  <c r="C21" i="2"/>
  <c r="E20" i="2"/>
  <c r="F20" i="2"/>
  <c r="D26" i="1"/>
  <c r="H25" i="1"/>
  <c r="C19" i="4" l="1"/>
  <c r="E18" i="4"/>
  <c r="F18" i="4"/>
  <c r="G26" i="1"/>
  <c r="E26" i="1"/>
  <c r="L26" i="1"/>
  <c r="M26" i="1"/>
  <c r="F27" i="1"/>
  <c r="F24" i="3"/>
  <c r="D21" i="2"/>
  <c r="G21" i="2" s="1"/>
  <c r="H20" i="2"/>
  <c r="E21" i="2"/>
  <c r="H21" i="2" s="1"/>
  <c r="F21" i="2"/>
  <c r="D19" i="4" l="1"/>
  <c r="H18" i="4"/>
  <c r="E19" i="4"/>
  <c r="F19" i="4"/>
  <c r="J27" i="1"/>
  <c r="O26" i="1"/>
  <c r="D27" i="1"/>
  <c r="H26" i="1"/>
  <c r="H24" i="3"/>
  <c r="C20" i="4" l="1"/>
  <c r="H19" i="4"/>
  <c r="D20" i="4"/>
  <c r="G20" i="4" s="1"/>
  <c r="G19" i="4"/>
  <c r="D28" i="1"/>
  <c r="G28" i="1" s="1"/>
  <c r="G27" i="1"/>
  <c r="E27" i="1"/>
  <c r="J28" i="1"/>
  <c r="L27" i="1"/>
  <c r="M27" i="1"/>
  <c r="C21" i="4" l="1"/>
  <c r="E20" i="4"/>
  <c r="F20" i="4"/>
  <c r="K28" i="1"/>
  <c r="N28" i="1" s="1"/>
  <c r="O27" i="1"/>
  <c r="J29" i="1"/>
  <c r="L28" i="1"/>
  <c r="M28" i="1"/>
  <c r="C28" i="1"/>
  <c r="H27" i="1"/>
  <c r="D21" i="4" l="1"/>
  <c r="H20" i="4"/>
  <c r="E21" i="4"/>
  <c r="F21" i="4"/>
  <c r="C29" i="1"/>
  <c r="E28" i="1"/>
  <c r="F28" i="1"/>
  <c r="K29" i="1"/>
  <c r="O28" i="1"/>
  <c r="L29" i="1"/>
  <c r="M29" i="1"/>
  <c r="C22" i="4" l="1"/>
  <c r="H21" i="4"/>
  <c r="D22" i="4"/>
  <c r="G21" i="4"/>
  <c r="J30" i="1"/>
  <c r="O29" i="1"/>
  <c r="K30" i="1"/>
  <c r="N30" i="1" s="1"/>
  <c r="N29" i="1"/>
  <c r="D29" i="1"/>
  <c r="H28" i="1"/>
  <c r="E29" i="1"/>
  <c r="F29" i="1"/>
  <c r="D23" i="4" l="1"/>
  <c r="G23" i="4" s="1"/>
  <c r="G22" i="4"/>
  <c r="E22" i="4"/>
  <c r="F22" i="4"/>
  <c r="C30" i="1"/>
  <c r="H29" i="1"/>
  <c r="D30" i="1"/>
  <c r="G30" i="1" s="1"/>
  <c r="G29" i="1"/>
  <c r="J31" i="1"/>
  <c r="L30" i="1"/>
  <c r="M30" i="1"/>
  <c r="C23" i="4" l="1"/>
  <c r="H22" i="4"/>
  <c r="K31" i="1"/>
  <c r="O30" i="1"/>
  <c r="L31" i="1"/>
  <c r="M31" i="1"/>
  <c r="C31" i="1"/>
  <c r="E30" i="1"/>
  <c r="F30" i="1"/>
  <c r="C24" i="4" l="1"/>
  <c r="E23" i="4"/>
  <c r="F23" i="4"/>
  <c r="D31" i="1"/>
  <c r="H30" i="1"/>
  <c r="E31" i="1"/>
  <c r="F31" i="1"/>
  <c r="J32" i="1"/>
  <c r="O31" i="1"/>
  <c r="K32" i="1"/>
  <c r="N31" i="1"/>
  <c r="D24" i="4" l="1"/>
  <c r="G24" i="4" s="1"/>
  <c r="H23" i="4"/>
  <c r="E24" i="4"/>
  <c r="F24" i="4"/>
  <c r="K33" i="1"/>
  <c r="N32" i="1"/>
  <c r="L32" i="1"/>
  <c r="M32" i="1"/>
  <c r="C32" i="1"/>
  <c r="H31" i="1"/>
  <c r="D32" i="1"/>
  <c r="G32" i="1" s="1"/>
  <c r="G31" i="1"/>
  <c r="H24" i="4" l="1"/>
  <c r="E47" i="4"/>
  <c r="C33" i="1"/>
  <c r="E32" i="1"/>
  <c r="F32" i="1"/>
  <c r="J33" i="1"/>
  <c r="O32" i="1"/>
  <c r="K34" i="1"/>
  <c r="N33" i="1"/>
  <c r="K35" i="1" l="1"/>
  <c r="N34" i="1"/>
  <c r="L33" i="1"/>
  <c r="M33" i="1"/>
  <c r="D33" i="1"/>
  <c r="G33" i="1" s="1"/>
  <c r="H32" i="1"/>
  <c r="C34" i="1"/>
  <c r="E33" i="1"/>
  <c r="F33" i="1"/>
  <c r="D34" i="1" l="1"/>
  <c r="G34" i="1" s="1"/>
  <c r="H33" i="1"/>
  <c r="C35" i="1"/>
  <c r="E34" i="1"/>
  <c r="F34" i="1"/>
  <c r="J34" i="1"/>
  <c r="O33" i="1"/>
  <c r="K36" i="1"/>
  <c r="N35" i="1"/>
  <c r="K37" i="1" l="1"/>
  <c r="N37" i="1" s="1"/>
  <c r="N36" i="1"/>
  <c r="L34" i="1"/>
  <c r="M34" i="1"/>
  <c r="D35" i="1"/>
  <c r="G35" i="1" s="1"/>
  <c r="H34" i="1"/>
  <c r="E35" i="1"/>
  <c r="H35" i="1" s="1"/>
  <c r="F35" i="1"/>
  <c r="J35" i="1" l="1"/>
  <c r="O34" i="1"/>
  <c r="L35" i="1" l="1"/>
  <c r="M35" i="1"/>
  <c r="J36" i="1" l="1"/>
  <c r="O35" i="1"/>
  <c r="L36" i="1" l="1"/>
  <c r="M36" i="1"/>
  <c r="J37" i="1" l="1"/>
  <c r="O36" i="1"/>
  <c r="L37" i="1" l="1"/>
  <c r="O37" i="1" s="1"/>
  <c r="M37" i="1"/>
</calcChain>
</file>

<file path=xl/sharedStrings.xml><?xml version="1.0" encoding="utf-8"?>
<sst xmlns="http://schemas.openxmlformats.org/spreadsheetml/2006/main" count="160" uniqueCount="24">
  <si>
    <t>PROBLEMA 1:</t>
  </si>
  <si>
    <t>x</t>
  </si>
  <si>
    <t>f(x)</t>
  </si>
  <si>
    <t>a</t>
  </si>
  <si>
    <t>f(a) *f(b) &lt; 0   entonces existe en el intervalo al menos una raiz</t>
  </si>
  <si>
    <t>b</t>
  </si>
  <si>
    <t>tol =0.0005</t>
  </si>
  <si>
    <t>f (  c  )  &lt; tol , entonces c es la raiz</t>
  </si>
  <si>
    <t>METODO DE LA BISECCION</t>
  </si>
  <si>
    <t>c</t>
  </si>
  <si>
    <t>f(a)</t>
  </si>
  <si>
    <t>f(b)</t>
  </si>
  <si>
    <t>f(c)</t>
  </si>
  <si>
    <t>METODO NEWTON</t>
  </si>
  <si>
    <t>f'(x)</t>
  </si>
  <si>
    <t>METODO DE LA SECANTE</t>
  </si>
  <si>
    <t>x2 = x1 - f(x1) (x1 - x0) / (f(x1) - f(x0))</t>
  </si>
  <si>
    <t xml:space="preserve"># </t>
  </si>
  <si>
    <t>tolerancia</t>
  </si>
  <si>
    <t>COMPARACIÓN</t>
  </si>
  <si>
    <t>BISECCIÓN</t>
  </si>
  <si>
    <t>NEWTON-RAPHSON</t>
  </si>
  <si>
    <t>SECANTE</t>
  </si>
  <si>
    <t>METODO DE 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</si>
</sst>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3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1" xfId="0" applyFont="1" applyBorder="1"/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" fillId="0" borderId="0" xfId="0" applyNumberFormat="1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8</xdr:col>
      <xdr:colOff>314325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5F81BD-934F-3805-59E5-C267065C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9525"/>
          <a:ext cx="4572000" cy="1685925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4</xdr:row>
      <xdr:rowOff>123825</xdr:rowOff>
    </xdr:from>
    <xdr:to>
      <xdr:col>18</xdr:col>
      <xdr:colOff>295275</xdr:colOff>
      <xdr:row>19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C3FEF7-51FA-B2EB-7CE8-4A0986BA6721}"/>
            </a:ext>
            <a:ext uri="{147F2762-F138-4A5C-976F-8EAC2B608ADB}">
              <a16:predDERef xmlns:a16="http://schemas.microsoft.com/office/drawing/2014/main" pred="{535F81BD-934F-3805-59E5-C267065C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6075" y="885825"/>
          <a:ext cx="4572000" cy="282892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10</xdr:row>
      <xdr:rowOff>38100</xdr:rowOff>
    </xdr:from>
    <xdr:to>
      <xdr:col>6</xdr:col>
      <xdr:colOff>409575</xdr:colOff>
      <xdr:row>11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05B514-0D82-D52E-377E-A131BDBF61A2}"/>
            </a:ext>
            <a:ext uri="{147F2762-F138-4A5C-976F-8EAC2B608ADB}">
              <a16:predDERef xmlns:a16="http://schemas.microsoft.com/office/drawing/2014/main" pred="{2FC3FEF7-51FA-B2EB-7CE8-4A0986BA6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8325" y="1943100"/>
          <a:ext cx="2228850" cy="323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133350</xdr:rowOff>
    </xdr:from>
    <xdr:to>
      <xdr:col>5</xdr:col>
      <xdr:colOff>504825</xdr:colOff>
      <xdr:row>39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F02D24F-9971-8063-456C-9F25214C4A23}"/>
            </a:ext>
            <a:ext uri="{147F2762-F138-4A5C-976F-8EAC2B608ADB}">
              <a16:predDERef xmlns:a16="http://schemas.microsoft.com/office/drawing/2014/main" pred="{3605B514-0D82-D52E-377E-A131BDBF6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7181850"/>
          <a:ext cx="2333625" cy="41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304800</xdr:colOff>
      <xdr:row>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FC783F-03AF-8757-52D8-657BC20E1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572000" cy="2571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</xdr:row>
      <xdr:rowOff>123825</xdr:rowOff>
    </xdr:from>
    <xdr:to>
      <xdr:col>6</xdr:col>
      <xdr:colOff>295275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4FC4E2-9734-F6C0-E98C-F0B532002291}"/>
            </a:ext>
            <a:ext uri="{147F2762-F138-4A5C-976F-8EAC2B608ADB}">
              <a16:predDERef xmlns:a16="http://schemas.microsoft.com/office/drawing/2014/main" pred="{D6FC783F-03AF-8757-52D8-657BC20E1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0" y="504825"/>
          <a:ext cx="2714625" cy="371475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0</xdr:row>
      <xdr:rowOff>180975</xdr:rowOff>
    </xdr:from>
    <xdr:to>
      <xdr:col>17</xdr:col>
      <xdr:colOff>295275</xdr:colOff>
      <xdr:row>17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6C7C0A-A909-A2F0-2A28-F0D1F45AA3EC}"/>
            </a:ext>
            <a:ext uri="{147F2762-F138-4A5C-976F-8EAC2B608ADB}">
              <a16:predDERef xmlns:a16="http://schemas.microsoft.com/office/drawing/2014/main" pred="{864FC4E2-9734-F6C0-E98C-F0B532002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6475" y="180975"/>
          <a:ext cx="4572000" cy="307657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24</xdr:row>
      <xdr:rowOff>57150</xdr:rowOff>
    </xdr:from>
    <xdr:to>
      <xdr:col>5</xdr:col>
      <xdr:colOff>438150</xdr:colOff>
      <xdr:row>26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50876D7-757F-554A-A05E-B9083329DD84}"/>
            </a:ext>
            <a:ext uri="{147F2762-F138-4A5C-976F-8EAC2B608ADB}">
              <a16:predDERef xmlns:a16="http://schemas.microsoft.com/office/drawing/2014/main" pred="{7D6C7C0A-A909-A2F0-2A28-F0D1F45AA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9675" y="4629150"/>
          <a:ext cx="2276475" cy="400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8</xdr:col>
      <xdr:colOff>333375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16006E-A598-6B46-8B9B-131C8A10A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38125"/>
          <a:ext cx="4572000" cy="2952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</xdr:row>
      <xdr:rowOff>0</xdr:rowOff>
    </xdr:from>
    <xdr:to>
      <xdr:col>5</xdr:col>
      <xdr:colOff>590550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6FF1FF-92DF-CB28-E2CB-5102A0BF9C5D}"/>
            </a:ext>
            <a:ext uri="{147F2762-F138-4A5C-976F-8EAC2B608ADB}">
              <a16:predDERef xmlns:a16="http://schemas.microsoft.com/office/drawing/2014/main" pred="{0016006E-A598-6B46-8B9B-131C8A10A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725" y="571500"/>
          <a:ext cx="2409825" cy="381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</xdr:row>
      <xdr:rowOff>57150</xdr:rowOff>
    </xdr:from>
    <xdr:to>
      <xdr:col>18</xdr:col>
      <xdr:colOff>342900</xdr:colOff>
      <xdr:row>17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863F31-C983-B5BD-D629-7E5F510D9C9D}"/>
            </a:ext>
            <a:ext uri="{147F2762-F138-4A5C-976F-8EAC2B608ADB}">
              <a16:predDERef xmlns:a16="http://schemas.microsoft.com/office/drawing/2014/main" pred="{F96FF1FF-92DF-CB28-E2CB-5102A0BF9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3700" y="247650"/>
          <a:ext cx="4572000" cy="30289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34</xdr:row>
      <xdr:rowOff>57150</xdr:rowOff>
    </xdr:from>
    <xdr:to>
      <xdr:col>6</xdr:col>
      <xdr:colOff>476250</xdr:colOff>
      <xdr:row>36</xdr:row>
      <xdr:rowOff>47625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F3ACF18-7635-9603-2C29-0B32A0F11C20}"/>
            </a:ext>
            <a:ext uri="{147F2762-F138-4A5C-976F-8EAC2B608ADB}">
              <a16:predDERef xmlns:a16="http://schemas.microsoft.com/office/drawing/2014/main" pred="{0B863F31-C983-B5BD-D629-7E5F510D9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725" y="6534150"/>
          <a:ext cx="2905125" cy="371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85725</xdr:rowOff>
    </xdr:from>
    <xdr:to>
      <xdr:col>8</xdr:col>
      <xdr:colOff>323850</xdr:colOff>
      <xdr:row>2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2B55B-F320-2B49-FD62-B67CB50EF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76225"/>
          <a:ext cx="45720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</xdr:row>
      <xdr:rowOff>152400</xdr:rowOff>
    </xdr:from>
    <xdr:to>
      <xdr:col>6</xdr:col>
      <xdr:colOff>57150</xdr:colOff>
      <xdr:row>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EDAB62-40AD-4481-2592-41568B1BDDDB}"/>
            </a:ext>
            <a:ext uri="{147F2762-F138-4A5C-976F-8EAC2B608ADB}">
              <a16:predDERef xmlns:a16="http://schemas.microsoft.com/office/drawing/2014/main" pred="{95F2B55B-F320-2B49-FD62-B67CB50EF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533400"/>
          <a:ext cx="2466975" cy="381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2</xdr:row>
      <xdr:rowOff>19050</xdr:rowOff>
    </xdr:from>
    <xdr:to>
      <xdr:col>18</xdr:col>
      <xdr:colOff>323850</xdr:colOff>
      <xdr:row>18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BA7DD6-9927-CF23-F1D3-AEB0BA2B62A1}"/>
            </a:ext>
            <a:ext uri="{147F2762-F138-4A5C-976F-8EAC2B608ADB}">
              <a16:predDERef xmlns:a16="http://schemas.microsoft.com/office/drawing/2014/main" pred="{DCEDAB62-40AD-4481-2592-41568B1BD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4650" y="400050"/>
          <a:ext cx="4572000" cy="30765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27</xdr:row>
      <xdr:rowOff>95250</xdr:rowOff>
    </xdr:from>
    <xdr:to>
      <xdr:col>7</xdr:col>
      <xdr:colOff>47625</xdr:colOff>
      <xdr:row>29</xdr:row>
      <xdr:rowOff>47625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A7EC2DD-6DC1-2A73-F9DA-0353BC9AB5FB}"/>
            </a:ext>
            <a:ext uri="{147F2762-F138-4A5C-976F-8EAC2B608ADB}">
              <a16:predDERef xmlns:a16="http://schemas.microsoft.com/office/drawing/2014/main" pred="{C0BA7DD6-9927-CF23-F1D3-AEB0BA2B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725" y="5238750"/>
          <a:ext cx="3086100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opLeftCell="A46" workbookViewId="0">
      <selection activeCell="J64" sqref="J64"/>
    </sheetView>
  </sheetViews>
  <sheetFormatPr defaultRowHeight="15"/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H2" s="1"/>
      <c r="I2" s="1"/>
      <c r="J2" s="1"/>
      <c r="K2" s="1"/>
      <c r="L2" s="1"/>
    </row>
    <row r="3" spans="1:12">
      <c r="H3" s="1"/>
      <c r="I3" s="1"/>
      <c r="J3" s="1"/>
      <c r="K3" s="1"/>
      <c r="L3" s="1"/>
    </row>
    <row r="4" spans="1:12">
      <c r="H4" s="1"/>
      <c r="I4" s="1"/>
      <c r="J4" s="1"/>
      <c r="K4" s="1"/>
      <c r="L4" s="1"/>
    </row>
    <row r="5" spans="1:12">
      <c r="H5" s="1"/>
      <c r="I5" s="1"/>
      <c r="J5" s="1"/>
      <c r="K5" s="1"/>
      <c r="L5" s="1"/>
    </row>
    <row r="6" spans="1:12">
      <c r="H6" s="1"/>
      <c r="I6" s="1"/>
      <c r="J6" s="1"/>
      <c r="K6" s="1"/>
      <c r="L6" s="1"/>
    </row>
    <row r="7" spans="1:12">
      <c r="H7" s="1"/>
      <c r="I7" s="1"/>
      <c r="J7" s="1"/>
      <c r="K7" s="1"/>
      <c r="L7" s="1"/>
    </row>
    <row r="10" spans="1:12">
      <c r="B10" s="1"/>
      <c r="C10" s="1"/>
      <c r="D10" s="1"/>
      <c r="E10" s="1"/>
      <c r="F10" s="1"/>
      <c r="G10" s="1"/>
      <c r="H10" s="1"/>
    </row>
    <row r="11" spans="1:12">
      <c r="B11" s="2" t="s">
        <v>0</v>
      </c>
    </row>
    <row r="14" spans="1:12">
      <c r="B14" s="1"/>
      <c r="C14" s="3" t="s">
        <v>1</v>
      </c>
      <c r="D14" s="3" t="s">
        <v>2</v>
      </c>
      <c r="E14" s="1"/>
      <c r="F14" s="1"/>
      <c r="G14" s="1"/>
      <c r="H14" s="1"/>
    </row>
    <row r="15" spans="1:12">
      <c r="B15" s="1" t="s">
        <v>3</v>
      </c>
      <c r="C15" s="4">
        <v>3.1</v>
      </c>
      <c r="D15" s="4">
        <f>+C15^3-EXP(0.8*C15)-20</f>
        <v>-2.1502644178491046</v>
      </c>
      <c r="E15" s="1"/>
      <c r="F15" s="1" t="s">
        <v>4</v>
      </c>
      <c r="G15" s="1"/>
      <c r="H15" s="1"/>
    </row>
    <row r="16" spans="1:12">
      <c r="B16" s="1" t="s">
        <v>5</v>
      </c>
      <c r="C16" s="4">
        <v>3.3</v>
      </c>
      <c r="D16" s="4">
        <f>+C16^3-EXP(0.8*C16)-20</f>
        <v>1.9237963922663823</v>
      </c>
      <c r="E16" s="1"/>
      <c r="F16" s="1"/>
      <c r="G16" s="1"/>
      <c r="H16" s="1"/>
    </row>
    <row r="17" spans="2:15">
      <c r="B17" s="1"/>
      <c r="C17" s="1"/>
      <c r="D17" s="1"/>
      <c r="E17" s="1"/>
      <c r="F17" s="1" t="s">
        <v>6</v>
      </c>
      <c r="G17" s="1"/>
      <c r="H17" s="1"/>
    </row>
    <row r="18" spans="2:15">
      <c r="B18" s="1" t="s">
        <v>3</v>
      </c>
      <c r="C18" s="4">
        <v>7.3</v>
      </c>
      <c r="D18" s="5">
        <f>+C18^3-EXP(0.8*C18)-20</f>
        <v>25.237659335033527</v>
      </c>
      <c r="E18" s="1"/>
      <c r="F18" s="1" t="s">
        <v>7</v>
      </c>
      <c r="G18" s="1"/>
      <c r="H18" s="1"/>
    </row>
    <row r="19" spans="2:15">
      <c r="B19" s="1" t="s">
        <v>5</v>
      </c>
      <c r="C19" s="4">
        <v>7.5</v>
      </c>
      <c r="D19" s="5">
        <f>+C19^3-EXP(0.8*C19)-20</f>
        <v>-1.5537934927351102</v>
      </c>
      <c r="E19" s="1"/>
      <c r="F19" s="1"/>
      <c r="G19" s="1"/>
      <c r="H19" s="1"/>
    </row>
    <row r="20" spans="2:15">
      <c r="B20" s="1"/>
      <c r="C20" s="1"/>
      <c r="D20" s="1"/>
      <c r="E20" s="1"/>
      <c r="F20" s="1"/>
      <c r="G20" s="1"/>
      <c r="H20" s="1"/>
    </row>
    <row r="21" spans="2:15">
      <c r="C21" t="s">
        <v>8</v>
      </c>
      <c r="K21" s="1"/>
    </row>
    <row r="22" spans="2:15">
      <c r="C22" s="15" t="s">
        <v>3</v>
      </c>
      <c r="D22" s="15" t="s">
        <v>5</v>
      </c>
      <c r="E22" s="15" t="s">
        <v>9</v>
      </c>
      <c r="F22" s="15" t="s">
        <v>10</v>
      </c>
      <c r="G22" s="15" t="s">
        <v>11</v>
      </c>
      <c r="H22" s="15" t="s">
        <v>12</v>
      </c>
      <c r="I22" s="8"/>
      <c r="J22" s="9" t="s">
        <v>3</v>
      </c>
      <c r="K22" s="9" t="s">
        <v>5</v>
      </c>
      <c r="L22" s="9" t="s">
        <v>9</v>
      </c>
      <c r="M22" s="9" t="s">
        <v>10</v>
      </c>
      <c r="N22" s="9" t="s">
        <v>11</v>
      </c>
      <c r="O22" s="9" t="s">
        <v>12</v>
      </c>
    </row>
    <row r="23" spans="2:15">
      <c r="C23" s="7">
        <v>3.1</v>
      </c>
      <c r="D23" s="7">
        <v>3.3</v>
      </c>
      <c r="E23" s="7">
        <f>+(C23+D23)/2</f>
        <v>3.2</v>
      </c>
      <c r="F23" s="7">
        <f>+C23^3-EXP(0.8*C23)-20</f>
        <v>-2.1502644178491046</v>
      </c>
      <c r="G23" s="7">
        <f>+D23^3-EXP(0.8*D23)-20</f>
        <v>1.9237963922663823</v>
      </c>
      <c r="H23" s="7">
        <f>+E23^3-EXP(0.8*E23)-20</f>
        <v>-0.16781731554307555</v>
      </c>
      <c r="I23" s="8"/>
      <c r="J23" s="7">
        <v>7.3</v>
      </c>
      <c r="K23" s="7">
        <v>7.5</v>
      </c>
      <c r="L23" s="7">
        <f>+(J23+K23)/2</f>
        <v>7.4</v>
      </c>
      <c r="M23" s="7">
        <f>+J23^3-EXP(0.8*J23)-20</f>
        <v>25.237659335033527</v>
      </c>
      <c r="N23" s="7">
        <f>+K23^3-EXP(0.8*K23)-20</f>
        <v>-1.5537934927351102</v>
      </c>
      <c r="O23" s="7">
        <f>+L23^3-EXP(0.8*L23)-20</f>
        <v>12.812286123817501</v>
      </c>
    </row>
    <row r="24" spans="2:15">
      <c r="C24" s="7">
        <f>+E23</f>
        <v>3.2</v>
      </c>
      <c r="D24" s="7">
        <f>+D23</f>
        <v>3.3</v>
      </c>
      <c r="E24" s="7">
        <f>+(C24+D24)/2</f>
        <v>3.25</v>
      </c>
      <c r="F24" s="7">
        <f>+C24^3-EXP(0.8*C24)-20</f>
        <v>-0.16781731554307555</v>
      </c>
      <c r="G24" s="7">
        <f>+D24^3-EXP(0.8*D24)-20</f>
        <v>1.9237963922663823</v>
      </c>
      <c r="H24" s="7">
        <f>+E24^3-EXP(0.8*E24)-20</f>
        <v>0.86438696499831025</v>
      </c>
      <c r="I24" s="8"/>
      <c r="J24" s="7">
        <f>+L23</f>
        <v>7.4</v>
      </c>
      <c r="K24" s="7">
        <f>+K23</f>
        <v>7.5</v>
      </c>
      <c r="L24" s="7">
        <f t="shared" ref="L24:L32" si="0">+(J24+K24)/2</f>
        <v>7.45</v>
      </c>
      <c r="M24" s="7">
        <f t="shared" ref="M24:M32" si="1">+J24^3-EXP(0.8*J24)-20</f>
        <v>12.812286123817501</v>
      </c>
      <c r="N24" s="7">
        <f t="shared" ref="N24:N32" si="2">+K24^3-EXP(0.8*K24)-20</f>
        <v>-1.5537934927351102</v>
      </c>
      <c r="O24" s="7">
        <f t="shared" ref="O24:O32" si="3">+L24^3-EXP(0.8*L24)-20</f>
        <v>5.8835007622163289</v>
      </c>
    </row>
    <row r="25" spans="2:15">
      <c r="C25" s="7">
        <f>+C24</f>
        <v>3.2</v>
      </c>
      <c r="D25" s="7">
        <f>+E24</f>
        <v>3.25</v>
      </c>
      <c r="E25" s="7">
        <f>+(C25+D25)/2</f>
        <v>3.2250000000000001</v>
      </c>
      <c r="F25" s="7">
        <f>+C25^3-EXP(0.8*C25)-20</f>
        <v>-0.16781731554307555</v>
      </c>
      <c r="G25" s="7">
        <f>+D25^3-EXP(0.8*D25)-20</f>
        <v>0.86438696499831025</v>
      </c>
      <c r="H25" s="7">
        <f>+E25^3-EXP(0.8*E25)-20</f>
        <v>0.34487746534163932</v>
      </c>
      <c r="I25" s="8"/>
      <c r="J25" s="7">
        <f>+L24</f>
        <v>7.45</v>
      </c>
      <c r="K25" s="7">
        <f>+K24</f>
        <v>7.5</v>
      </c>
      <c r="L25" s="7">
        <f>+(J25+K25)/2</f>
        <v>7.4749999999999996</v>
      </c>
      <c r="M25" s="7">
        <f t="shared" si="1"/>
        <v>5.8835007622163289</v>
      </c>
      <c r="N25" s="7">
        <f t="shared" si="2"/>
        <v>-1.5537934927351102</v>
      </c>
      <c r="O25" s="7">
        <f t="shared" si="3"/>
        <v>2.2299287196757973</v>
      </c>
    </row>
    <row r="26" spans="2:15">
      <c r="C26" s="7">
        <f>+C25</f>
        <v>3.2</v>
      </c>
      <c r="D26" s="7">
        <f>+E25</f>
        <v>3.2250000000000001</v>
      </c>
      <c r="E26" s="7">
        <f>+(C26+D26)/2</f>
        <v>3.2125000000000004</v>
      </c>
      <c r="F26" s="7">
        <f>+C26^3-EXP(0.8*C26)-20</f>
        <v>-0.16781731554307555</v>
      </c>
      <c r="G26" s="7">
        <f>+D26^3-EXP(0.8*D26)-20</f>
        <v>0.34487746534163932</v>
      </c>
      <c r="H26" s="7">
        <f>+E26^3-EXP(0.8*E26)-20</f>
        <v>8.7677512190445839E-2</v>
      </c>
      <c r="I26" s="8"/>
      <c r="J26" s="7">
        <f>+L25</f>
        <v>7.4749999999999996</v>
      </c>
      <c r="K26" s="7">
        <f>+K25</f>
        <v>7.5</v>
      </c>
      <c r="L26" s="7">
        <f>+(J26+K26)/2</f>
        <v>7.4874999999999998</v>
      </c>
      <c r="M26" s="7">
        <f t="shared" si="1"/>
        <v>2.2299287196757973</v>
      </c>
      <c r="N26" s="7">
        <f>+K26^3-EXP(0.8*K26)-20</f>
        <v>-1.5537934927351102</v>
      </c>
      <c r="O26" s="7">
        <f t="shared" si="3"/>
        <v>0.35452874476499119</v>
      </c>
    </row>
    <row r="27" spans="2:15">
      <c r="C27" s="7">
        <f>+C26</f>
        <v>3.2</v>
      </c>
      <c r="D27" s="7">
        <f>+E26</f>
        <v>3.2125000000000004</v>
      </c>
      <c r="E27" s="7">
        <f>+(C27+D27)/2</f>
        <v>3.2062500000000003</v>
      </c>
      <c r="F27" s="7">
        <f>+C27^3-EXP(0.8*C27)-20</f>
        <v>-0.16781731554307555</v>
      </c>
      <c r="G27" s="7">
        <f>+D27^3-EXP(0.8*D27)-20</f>
        <v>8.7677512190445839E-2</v>
      </c>
      <c r="H27" s="7">
        <f>+E27^3-EXP(0.8*E27)-20</f>
        <v>-4.0283125530006458E-2</v>
      </c>
      <c r="I27" s="8"/>
      <c r="J27" s="7">
        <f>+L26</f>
        <v>7.4874999999999998</v>
      </c>
      <c r="K27" s="7">
        <f>+K26</f>
        <v>7.5</v>
      </c>
      <c r="L27" s="7">
        <f t="shared" si="0"/>
        <v>7.4937500000000004</v>
      </c>
      <c r="M27" s="7">
        <f t="shared" si="1"/>
        <v>0.35452874476499119</v>
      </c>
      <c r="N27" s="7">
        <f t="shared" si="2"/>
        <v>-1.5537934927351102</v>
      </c>
      <c r="O27" s="7">
        <f t="shared" si="3"/>
        <v>-0.59549282880993815</v>
      </c>
    </row>
    <row r="28" spans="2:15">
      <c r="C28" s="7">
        <f>+E27</f>
        <v>3.2062500000000003</v>
      </c>
      <c r="D28" s="7">
        <f>+D27</f>
        <v>3.2125000000000004</v>
      </c>
      <c r="E28" s="7">
        <f>+(C28+D28)/2</f>
        <v>3.2093750000000005</v>
      </c>
      <c r="F28" s="7">
        <f>+C28^3-EXP(0.8*C28)-20</f>
        <v>-4.0283125530006458E-2</v>
      </c>
      <c r="G28" s="7">
        <f>+D28^3-EXP(0.8*D28)-20</f>
        <v>8.7677512190445839E-2</v>
      </c>
      <c r="H28" s="7">
        <f>+E28^3-EXP(0.8*E28)-20</f>
        <v>2.3643897445339235E-2</v>
      </c>
      <c r="I28" s="8"/>
      <c r="J28" s="7">
        <f>+J27</f>
        <v>7.4874999999999998</v>
      </c>
      <c r="K28" s="7">
        <f>+L27</f>
        <v>7.4937500000000004</v>
      </c>
      <c r="L28" s="7">
        <f t="shared" si="0"/>
        <v>7.4906249999999996</v>
      </c>
      <c r="M28" s="7">
        <f t="shared" si="1"/>
        <v>0.35452874476499119</v>
      </c>
      <c r="N28" s="7">
        <f t="shared" si="2"/>
        <v>-0.59549282880993815</v>
      </c>
      <c r="O28" s="7">
        <f t="shared" si="3"/>
        <v>-0.11945019828834802</v>
      </c>
    </row>
    <row r="29" spans="2:15">
      <c r="B29" s="1"/>
      <c r="C29" s="6">
        <f>+C28</f>
        <v>3.2062500000000003</v>
      </c>
      <c r="D29" s="6">
        <f>+E28</f>
        <v>3.2093750000000005</v>
      </c>
      <c r="E29" s="7">
        <f>+(C29+D29)/2</f>
        <v>3.2078125000000002</v>
      </c>
      <c r="F29" s="7">
        <f>+C29^3-EXP(0.8*C29)-20</f>
        <v>-4.0283125530006458E-2</v>
      </c>
      <c r="G29" s="7">
        <f>+D29^3-EXP(0.8*D29)-20</f>
        <v>2.3643897445339235E-2</v>
      </c>
      <c r="H29" s="7">
        <f>+E29^3-EXP(0.8*E29)-20</f>
        <v>-8.3329392932256496E-3</v>
      </c>
      <c r="I29" s="1"/>
      <c r="J29" s="6">
        <f>+J28</f>
        <v>7.4874999999999998</v>
      </c>
      <c r="K29" s="6">
        <f>+L28</f>
        <v>7.4906249999999996</v>
      </c>
      <c r="L29" s="7">
        <f t="shared" si="0"/>
        <v>7.4890624999999993</v>
      </c>
      <c r="M29" s="7">
        <f t="shared" si="1"/>
        <v>0.35452874476499119</v>
      </c>
      <c r="N29" s="7">
        <f t="shared" si="2"/>
        <v>-0.11945019828834802</v>
      </c>
      <c r="O29" s="7">
        <f t="shared" si="3"/>
        <v>0.11779685470821732</v>
      </c>
    </row>
    <row r="30" spans="2:15">
      <c r="B30" s="1"/>
      <c r="C30" s="6">
        <f>+E29</f>
        <v>3.2078125000000002</v>
      </c>
      <c r="D30" s="6">
        <f>+D29</f>
        <v>3.2093750000000005</v>
      </c>
      <c r="E30" s="7">
        <f>+(C30+D30)/2</f>
        <v>3.2085937500000004</v>
      </c>
      <c r="F30" s="7">
        <f>+C30^3-EXP(0.8*C30)-20</f>
        <v>-8.3329392932256496E-3</v>
      </c>
      <c r="G30" s="7">
        <f>+D30^3-EXP(0.8*D30)-20</f>
        <v>2.3643897445339235E-2</v>
      </c>
      <c r="H30" s="7">
        <f>+E30^3-EXP(0.8*E30)-20</f>
        <v>7.6521479220588162E-3</v>
      </c>
      <c r="I30" s="1"/>
      <c r="J30" s="6">
        <f>+L29</f>
        <v>7.4890624999999993</v>
      </c>
      <c r="K30" s="6">
        <f>+K29</f>
        <v>7.4906249999999996</v>
      </c>
      <c r="L30" s="7">
        <f t="shared" si="0"/>
        <v>7.4898437499999995</v>
      </c>
      <c r="M30" s="7">
        <f t="shared" si="1"/>
        <v>0.11779685470821732</v>
      </c>
      <c r="N30" s="7">
        <f t="shared" si="2"/>
        <v>-0.11945019828834802</v>
      </c>
      <c r="O30" s="7">
        <f t="shared" si="3"/>
        <v>-7.6222902799827352E-4</v>
      </c>
    </row>
    <row r="31" spans="2:15">
      <c r="B31" s="1"/>
      <c r="C31" s="14">
        <f>+C30</f>
        <v>3.2078125000000002</v>
      </c>
      <c r="D31" s="14">
        <f>+E30</f>
        <v>3.2085937500000004</v>
      </c>
      <c r="E31" s="7">
        <f>+(C31+D31)/2</f>
        <v>3.2082031250000003</v>
      </c>
      <c r="F31" s="7">
        <f>+C31^3-EXP(0.8*C31)-20</f>
        <v>-8.3329392932256496E-3</v>
      </c>
      <c r="G31" s="7">
        <f>+D31^3-EXP(0.8*D31)-20</f>
        <v>7.6521479220588162E-3</v>
      </c>
      <c r="H31" s="7">
        <f>+E31^3-EXP(0.8*E31)-20</f>
        <v>-3.4122849400120003E-4</v>
      </c>
      <c r="I31" s="1"/>
      <c r="J31" s="14">
        <f>+J30</f>
        <v>7.4890624999999993</v>
      </c>
      <c r="K31" s="14">
        <f>+L30</f>
        <v>7.4898437499999995</v>
      </c>
      <c r="L31" s="7">
        <f t="shared" si="0"/>
        <v>7.4894531249999989</v>
      </c>
      <c r="M31" s="7">
        <f t="shared" si="1"/>
        <v>0.11779685470821732</v>
      </c>
      <c r="N31" s="7">
        <f t="shared" si="2"/>
        <v>-7.6222902799827352E-4</v>
      </c>
      <c r="O31" s="7">
        <f t="shared" si="3"/>
        <v>5.8533417604053284E-2</v>
      </c>
    </row>
    <row r="32" spans="2:15">
      <c r="B32" s="1"/>
      <c r="C32" s="4">
        <f>+E31</f>
        <v>3.2082031250000003</v>
      </c>
      <c r="D32" s="4">
        <f>+D31</f>
        <v>3.2085937500000004</v>
      </c>
      <c r="E32" s="7">
        <f>+(C32+D32)/2</f>
        <v>3.2083984375000005</v>
      </c>
      <c r="F32" s="7">
        <f>+C32^3-EXP(0.8*C32)-20</f>
        <v>-3.4122849400120003E-4</v>
      </c>
      <c r="G32" s="7">
        <f>+D32^3-EXP(0.8*D32)-20</f>
        <v>7.6521479220588162E-3</v>
      </c>
      <c r="H32" s="7">
        <f>+E32^3-EXP(0.8*E32)-20</f>
        <v>3.6552515144130382E-3</v>
      </c>
      <c r="I32" s="1"/>
      <c r="J32" s="4">
        <f>+L31</f>
        <v>7.4894531249999989</v>
      </c>
      <c r="K32" s="4">
        <f>+K31</f>
        <v>7.4898437499999995</v>
      </c>
      <c r="L32" s="7">
        <f t="shared" si="0"/>
        <v>7.4896484374999996</v>
      </c>
      <c r="M32" s="7">
        <f t="shared" si="1"/>
        <v>5.8533417604053284E-2</v>
      </c>
      <c r="N32" s="7">
        <f t="shared" si="2"/>
        <v>-7.6222902799827352E-4</v>
      </c>
      <c r="O32" s="7">
        <f t="shared" si="3"/>
        <v>2.8889621219548189E-2</v>
      </c>
    </row>
    <row r="33" spans="2:15">
      <c r="B33" s="1"/>
      <c r="C33" s="4">
        <f>+C32</f>
        <v>3.2082031250000003</v>
      </c>
      <c r="D33" s="4">
        <f>+E32</f>
        <v>3.2083984375000005</v>
      </c>
      <c r="E33" s="7">
        <f>+(C33+D33)/2</f>
        <v>3.2083007812500002</v>
      </c>
      <c r="F33" s="7">
        <f>+C33^3-EXP(0.8*C33)-20</f>
        <v>-3.4122849400120003E-4</v>
      </c>
      <c r="G33" s="7">
        <f>+D33^3-EXP(0.8*D33)-20</f>
        <v>3.6552515144130382E-3</v>
      </c>
      <c r="H33" s="7">
        <f>+E33^3-EXP(0.8*E33)-20</f>
        <v>1.6569594599822324E-3</v>
      </c>
      <c r="J33" s="4">
        <f>+L32</f>
        <v>7.4896484374999996</v>
      </c>
      <c r="K33" s="4">
        <f>+K32</f>
        <v>7.4898437499999995</v>
      </c>
      <c r="L33" s="7">
        <f t="shared" ref="L33:L34" si="4">+(J33+K33)/2</f>
        <v>7.48974609375</v>
      </c>
      <c r="M33" s="7">
        <f t="shared" ref="M33:M34" si="5">+J33^3-EXP(0.8*J33)-20</f>
        <v>2.8889621219548189E-2</v>
      </c>
      <c r="N33" s="7">
        <f t="shared" ref="N33:N34" si="6">+K33^3-EXP(0.8*K33)-20</f>
        <v>-7.6222902799827352E-4</v>
      </c>
      <c r="O33" s="7">
        <f t="shared" ref="O33:O34" si="7">+L33^3-EXP(0.8*L33)-20</f>
        <v>1.406470292135964E-2</v>
      </c>
    </row>
    <row r="34" spans="2:15">
      <c r="B34" s="1"/>
      <c r="C34" s="4">
        <f>+C33</f>
        <v>3.2082031250000003</v>
      </c>
      <c r="D34" s="4">
        <f>+E33</f>
        <v>3.2083007812500002</v>
      </c>
      <c r="E34" s="7">
        <f>+(C34+D34)/2</f>
        <v>3.208251953125</v>
      </c>
      <c r="F34" s="7">
        <f>+C34^3-EXP(0.8*C34)-20</f>
        <v>-3.4122849400120003E-4</v>
      </c>
      <c r="G34" s="7">
        <f>+D34^3-EXP(0.8*D34)-20</f>
        <v>1.6569594599822324E-3</v>
      </c>
      <c r="H34" s="7">
        <f>+E34^3-EXP(0.8*E34)-20</f>
        <v>6.5785247038974148E-4</v>
      </c>
      <c r="J34" s="4">
        <f>+L33</f>
        <v>7.48974609375</v>
      </c>
      <c r="K34" s="4">
        <f>+K33</f>
        <v>7.4898437499999995</v>
      </c>
      <c r="L34" s="7">
        <f t="shared" si="4"/>
        <v>7.4897949218749993</v>
      </c>
      <c r="M34" s="7">
        <f t="shared" si="5"/>
        <v>1.406470292135964E-2</v>
      </c>
      <c r="N34" s="7">
        <f t="shared" si="6"/>
        <v>-7.6222902799827352E-4</v>
      </c>
      <c r="O34" s="7">
        <f t="shared" si="7"/>
        <v>6.6514886648860738E-3</v>
      </c>
    </row>
    <row r="35" spans="2:15">
      <c r="B35" s="1"/>
      <c r="C35" s="7">
        <f>+C34</f>
        <v>3.2082031250000003</v>
      </c>
      <c r="D35" s="4">
        <f>+E34</f>
        <v>3.208251953125</v>
      </c>
      <c r="E35" s="16">
        <f>+(C35+D35)/2</f>
        <v>3.2082275390625004</v>
      </c>
      <c r="F35" s="7">
        <f>+C35^3-EXP(0.8*C35)-20</f>
        <v>-3.4122849400120003E-4</v>
      </c>
      <c r="G35" s="7">
        <f>+D35^3-EXP(0.8*D35)-20</f>
        <v>6.5785247038974148E-4</v>
      </c>
      <c r="H35" s="7">
        <f>+E35^3-EXP(0.8*E35)-20</f>
        <v>1.5830873504540932E-4</v>
      </c>
      <c r="J35" s="7">
        <f>+L34</f>
        <v>7.4897949218749993</v>
      </c>
      <c r="K35" s="4">
        <f>+K34</f>
        <v>7.4898437499999995</v>
      </c>
      <c r="L35" s="7">
        <f t="shared" ref="L35" si="8">+(J35+K35)/2</f>
        <v>7.4898193359374989</v>
      </c>
      <c r="M35" s="7">
        <f t="shared" ref="M35" si="9">+J35^3-EXP(0.8*J35)-20</f>
        <v>6.6514886648860738E-3</v>
      </c>
      <c r="N35" s="7">
        <f t="shared" ref="N35" si="10">+K35^3-EXP(0.8*K35)-20</f>
        <v>-7.6222902799827352E-4</v>
      </c>
      <c r="O35" s="7">
        <f t="shared" ref="O35" si="11">+L35^3-EXP(0.8*L35)-20</f>
        <v>2.9446927493381736E-3</v>
      </c>
    </row>
    <row r="36" spans="2:15">
      <c r="B36" s="1"/>
      <c r="C36" s="12"/>
      <c r="D36" s="10"/>
      <c r="E36" s="12"/>
      <c r="F36" s="10"/>
      <c r="G36" s="11"/>
      <c r="H36" s="11"/>
      <c r="J36" s="6">
        <f>+L35</f>
        <v>7.4898193359374989</v>
      </c>
      <c r="K36" s="6">
        <f>+K35</f>
        <v>7.4898437499999995</v>
      </c>
      <c r="L36" s="7">
        <f t="shared" ref="L36:L37" si="12">+(J36+K36)/2</f>
        <v>7.4898315429687496</v>
      </c>
      <c r="M36" s="7">
        <f t="shared" ref="M36:M37" si="13">+J36^3-EXP(0.8*J36)-20</f>
        <v>2.9446927493381736E-3</v>
      </c>
      <c r="N36" s="7">
        <f t="shared" ref="N36:N37" si="14">+K36^3-EXP(0.8*K36)-20</f>
        <v>-7.6222902799827352E-4</v>
      </c>
      <c r="O36" s="7">
        <f t="shared" ref="O36:O37" si="15">+L36^3-EXP(0.8*L36)-20</f>
        <v>1.0912475937061572E-3</v>
      </c>
    </row>
    <row r="37" spans="2:15">
      <c r="C37" s="17" t="s">
        <v>13</v>
      </c>
      <c r="D37" s="12"/>
      <c r="E37" s="12"/>
      <c r="F37" s="10"/>
      <c r="G37" s="11"/>
      <c r="H37" s="10"/>
      <c r="J37" s="6">
        <f>+L36</f>
        <v>7.4898315429687496</v>
      </c>
      <c r="K37" s="6">
        <f>+K36</f>
        <v>7.4898437499999995</v>
      </c>
      <c r="L37" s="16">
        <f t="shared" si="12"/>
        <v>7.489837646484375</v>
      </c>
      <c r="M37" s="7">
        <f t="shared" si="13"/>
        <v>1.0912475937061572E-3</v>
      </c>
      <c r="N37" s="7">
        <f t="shared" si="14"/>
        <v>-7.6222902799827352E-4</v>
      </c>
      <c r="O37" s="18">
        <f t="shared" si="15"/>
        <v>1.6451321619115333E-4</v>
      </c>
    </row>
    <row r="38" spans="2:15">
      <c r="C38" s="17"/>
      <c r="D38" s="12"/>
      <c r="E38" s="12"/>
      <c r="F38" s="10"/>
      <c r="G38" s="11"/>
      <c r="H38" s="13"/>
      <c r="L38" s="8"/>
      <c r="M38" s="8"/>
      <c r="N38" s="8"/>
      <c r="O38" s="8"/>
    </row>
    <row r="42" spans="2:15">
      <c r="C42" s="9" t="s">
        <v>1</v>
      </c>
      <c r="D42" s="9" t="s">
        <v>2</v>
      </c>
      <c r="E42" s="9" t="s">
        <v>14</v>
      </c>
      <c r="G42" s="9" t="s">
        <v>1</v>
      </c>
      <c r="H42" s="9" t="s">
        <v>2</v>
      </c>
      <c r="I42" s="9" t="s">
        <v>14</v>
      </c>
    </row>
    <row r="43" spans="2:15">
      <c r="C43" s="7">
        <v>3.1</v>
      </c>
      <c r="D43" s="7">
        <f>+C43^3-EXP(0.8*C43)-20</f>
        <v>-2.1502644178491046</v>
      </c>
      <c r="E43" s="7">
        <f>3*C43^2-0.8*EXP(0.8*C43)</f>
        <v>19.27698846572072</v>
      </c>
      <c r="G43" s="7">
        <v>7.3</v>
      </c>
      <c r="H43" s="7">
        <f>+G43^3-EXP(0.8*G43)-20</f>
        <v>25.237659335033527</v>
      </c>
      <c r="I43" s="7">
        <f>3*G43^2-0.8*EXP(0.8*G43)</f>
        <v>-115.15347253197319</v>
      </c>
    </row>
    <row r="44" spans="2:15">
      <c r="C44" s="7">
        <f>+C43-(D43/E43)</f>
        <v>3.2115456608625776</v>
      </c>
      <c r="D44" s="7">
        <f>+C44^3-EXP(0.8*C44)-20</f>
        <v>6.8111076871652187E-2</v>
      </c>
      <c r="E44" s="7">
        <f>3*C44^2-0.8*EXP(0.8*C44)</f>
        <v>20.497394302757083</v>
      </c>
      <c r="G44" s="7">
        <f>+G43-(H43/I43)</f>
        <v>7.5191654214164156</v>
      </c>
      <c r="H44" s="7">
        <f>+G44^3-EXP(0.8*G44)-20</f>
        <v>-4.5445257232937593</v>
      </c>
      <c r="I44" s="7">
        <f>3*G44^2-0.8*EXP(0.8*G44)</f>
        <v>-158.116023838556</v>
      </c>
    </row>
    <row r="45" spans="2:15">
      <c r="C45" s="16">
        <f t="shared" ref="C45:C46" si="16">+C44-(D44/E44)</f>
        <v>3.2082227469416367</v>
      </c>
      <c r="D45" s="7">
        <f t="shared" ref="D45:D46" si="17">+C45^3-EXP(0.8*C45)-20</f>
        <v>6.0256421669180327E-5</v>
      </c>
      <c r="E45" s="7">
        <f t="shared" ref="E45:E46" si="18">3*C45^2-0.8*EXP(0.8*C45)</f>
        <v>20.461125841308885</v>
      </c>
      <c r="G45" s="7">
        <f t="shared" ref="G45" si="19">+G44-(H44/I44)</f>
        <v>7.4904237062317867</v>
      </c>
      <c r="H45" s="7">
        <f t="shared" ref="H45" si="20">+G45^3-EXP(0.8*G45)-20</f>
        <v>-8.8857196917388137E-2</v>
      </c>
      <c r="I45" s="7">
        <f t="shared" ref="I45" si="21">3*G45^2-0.8*EXP(0.8*G45)</f>
        <v>-151.96059419687145</v>
      </c>
    </row>
    <row r="46" spans="2:15">
      <c r="G46" s="16">
        <f>+G45-(H45/I45)</f>
        <v>7.4898389678172848</v>
      </c>
      <c r="H46" s="7">
        <f>+G46^3-EXP(0.8*G46)-20</f>
        <v>-3.6113935323101032E-5</v>
      </c>
      <c r="I46" s="7">
        <f>3*G46^2-0.8*EXP(0.8*G46)</f>
        <v>-151.83708385405578</v>
      </c>
    </row>
    <row r="49" spans="3:11">
      <c r="C49" t="s">
        <v>15</v>
      </c>
      <c r="G49" t="s">
        <v>16</v>
      </c>
    </row>
    <row r="51" spans="3:11">
      <c r="C51" s="9" t="s">
        <v>17</v>
      </c>
      <c r="D51" s="9" t="s">
        <v>1</v>
      </c>
      <c r="E51" s="9" t="s">
        <v>2</v>
      </c>
      <c r="F51" s="9" t="s">
        <v>18</v>
      </c>
      <c r="H51" s="9" t="s">
        <v>17</v>
      </c>
      <c r="I51" s="9" t="s">
        <v>1</v>
      </c>
      <c r="J51" s="9" t="s">
        <v>2</v>
      </c>
      <c r="K51" s="9" t="s">
        <v>18</v>
      </c>
    </row>
    <row r="52" spans="3:11">
      <c r="C52" s="7">
        <v>0</v>
      </c>
      <c r="D52" s="7">
        <v>3.1</v>
      </c>
      <c r="E52" s="7">
        <f>+D52^3-EXP(0.8*D52)-20</f>
        <v>-2.1502644178491046</v>
      </c>
      <c r="F52" s="7">
        <v>5.0000000000000001E-4</v>
      </c>
      <c r="H52" s="7">
        <v>0</v>
      </c>
      <c r="I52" s="7">
        <v>7.3</v>
      </c>
      <c r="J52" s="7">
        <f>+I52^3-EXP(0.8*I52)-20</f>
        <v>25.237659335033527</v>
      </c>
      <c r="K52" s="7">
        <v>5.0000000000000001E-4</v>
      </c>
    </row>
    <row r="53" spans="3:11">
      <c r="C53" s="7">
        <v>1</v>
      </c>
      <c r="D53" s="7">
        <v>3.3</v>
      </c>
      <c r="E53" s="7">
        <f>+D53^3-EXP(0.8*D53)-20</f>
        <v>1.9237963922663823</v>
      </c>
      <c r="F53" s="7"/>
      <c r="H53" s="7">
        <v>1</v>
      </c>
      <c r="I53" s="7">
        <v>7.5</v>
      </c>
      <c r="J53" s="7">
        <f>+I53^3-EXP(0.8*I53)-20</f>
        <v>-1.5537934927351102</v>
      </c>
      <c r="K53" s="7"/>
    </row>
    <row r="54" spans="3:11">
      <c r="C54" s="7">
        <v>2</v>
      </c>
      <c r="D54" s="7">
        <f>+D53-E53*(D53-D52)/(E53-E52)</f>
        <v>3.2055587787256492</v>
      </c>
      <c r="E54" s="7">
        <f>+D54^3-EXP(0.8*D54)-20</f>
        <v>-5.4408797262556874E-2</v>
      </c>
      <c r="F54" s="7"/>
      <c r="H54" s="7">
        <v>2</v>
      </c>
      <c r="I54" s="7">
        <f>+I53-J53*(I53-I52)/(J53-J52)</f>
        <v>7.4884008269150328</v>
      </c>
      <c r="J54" s="7">
        <f>+I54^3-EXP(0.8*I54)-20</f>
        <v>0.21810873438494127</v>
      </c>
      <c r="K54" s="7"/>
    </row>
    <row r="55" spans="3:11">
      <c r="C55" s="7">
        <v>3</v>
      </c>
      <c r="D55" s="7">
        <f>+D54-E54*(D54-D53)/(E54-E53)</f>
        <v>3.2081563016159658</v>
      </c>
      <c r="E55" s="7">
        <f>+D55^3-EXP(0.8*D55)-20</f>
        <v>-1.299265651947934E-3</v>
      </c>
      <c r="F55" s="7"/>
      <c r="H55" s="7">
        <v>3</v>
      </c>
      <c r="I55" s="7">
        <f>+I54-J54*(I54-I53)/(J54-J53)</f>
        <v>7.4898286037543826</v>
      </c>
      <c r="J55" s="7">
        <f>+I55^3-EXP(0.8*I55)-20</f>
        <v>1.5375238116916989E-3</v>
      </c>
      <c r="K55" s="7"/>
    </row>
    <row r="56" spans="3:11">
      <c r="C56" s="7">
        <v>4</v>
      </c>
      <c r="D56" s="16">
        <f>+D55-E55*(D55-D54)/(E55-E54)</f>
        <v>3.2082198471259558</v>
      </c>
      <c r="E56" s="7">
        <f>+D56^3-EXP(0.8*D56)-20</f>
        <v>9.2297399945096004E-7</v>
      </c>
      <c r="F56" s="7"/>
      <c r="H56" s="7">
        <v>4</v>
      </c>
      <c r="I56" s="16">
        <f>+I55-J55*(I55-I54)/(J55-J54)</f>
        <v>7.489838740101141</v>
      </c>
      <c r="J56" s="7">
        <f>+I56^3-EXP(0.8*I56)-20</f>
        <v>-1.5381855860141513E-6</v>
      </c>
      <c r="K56" s="7"/>
    </row>
    <row r="59" spans="3:11">
      <c r="C59" t="s">
        <v>19</v>
      </c>
      <c r="E59" s="9">
        <v>1</v>
      </c>
      <c r="F59" s="9">
        <v>2</v>
      </c>
    </row>
    <row r="60" spans="3:11">
      <c r="C60" s="21" t="s">
        <v>20</v>
      </c>
      <c r="D60" s="21"/>
      <c r="E60" s="23">
        <f>+E35</f>
        <v>3.2082275390625004</v>
      </c>
      <c r="F60" s="24">
        <f>+L37</f>
        <v>7.489837646484375</v>
      </c>
    </row>
    <row r="61" spans="3:11">
      <c r="C61" s="21" t="s">
        <v>21</v>
      </c>
      <c r="D61" s="21"/>
      <c r="E61" s="22">
        <f>+C45</f>
        <v>3.2082227469416367</v>
      </c>
      <c r="F61" s="6">
        <f>+G46</f>
        <v>7.4898389678172848</v>
      </c>
    </row>
    <row r="62" spans="3:11">
      <c r="C62" s="25" t="s">
        <v>22</v>
      </c>
      <c r="D62" s="25"/>
      <c r="E62" s="22">
        <f>+D56</f>
        <v>3.2082198471259558</v>
      </c>
      <c r="F62" s="6">
        <f>+I56</f>
        <v>7.489838740101141</v>
      </c>
    </row>
  </sheetData>
  <mergeCells count="1">
    <mergeCell ref="C62:D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7733-525B-4848-8C50-8133A96D22EC}">
  <dimension ref="B7:K48"/>
  <sheetViews>
    <sheetView topLeftCell="A36" workbookViewId="0">
      <selection activeCell="F45" sqref="F45"/>
    </sheetView>
  </sheetViews>
  <sheetFormatPr defaultRowHeight="15"/>
  <sheetData>
    <row r="7" spans="2:11">
      <c r="B7" s="1"/>
      <c r="C7" s="3" t="s">
        <v>1</v>
      </c>
      <c r="D7" s="3" t="s">
        <v>2</v>
      </c>
      <c r="E7" s="1"/>
      <c r="F7" s="1"/>
      <c r="G7" s="1"/>
      <c r="H7" s="1"/>
    </row>
    <row r="8" spans="2:11">
      <c r="B8" s="1" t="s">
        <v>3</v>
      </c>
      <c r="C8" s="4">
        <v>5.6</v>
      </c>
      <c r="D8" s="4">
        <f>3*SIN(0.5*C8)-0.5*C8+2</f>
        <v>0.2049644504677155</v>
      </c>
      <c r="E8" s="1"/>
      <c r="F8" s="1" t="s">
        <v>4</v>
      </c>
      <c r="G8" s="1"/>
      <c r="H8" s="1"/>
    </row>
    <row r="9" spans="2:11">
      <c r="B9" s="1" t="s">
        <v>5</v>
      </c>
      <c r="C9" s="4">
        <v>5.8</v>
      </c>
      <c r="D9" s="4">
        <f>3*SIN(0.5*C9)-0.5*C9+2</f>
        <v>-0.18225201235805244</v>
      </c>
      <c r="E9" s="1"/>
      <c r="F9" s="1"/>
      <c r="G9" s="1"/>
      <c r="H9" s="1"/>
    </row>
    <row r="10" spans="2:11">
      <c r="B10" s="1"/>
      <c r="C10" s="1"/>
      <c r="D10" s="1"/>
      <c r="E10" s="1"/>
      <c r="F10" s="1" t="s">
        <v>6</v>
      </c>
      <c r="G10" s="1"/>
      <c r="H10" s="1"/>
    </row>
    <row r="11" spans="2:11">
      <c r="B11" s="1" t="s">
        <v>3</v>
      </c>
      <c r="C11" s="4"/>
      <c r="D11" s="5"/>
      <c r="E11" s="1"/>
      <c r="F11" s="1" t="s">
        <v>7</v>
      </c>
      <c r="G11" s="1"/>
      <c r="H11" s="1"/>
    </row>
    <row r="12" spans="2:11">
      <c r="B12" s="1" t="s">
        <v>5</v>
      </c>
      <c r="C12" s="4"/>
      <c r="D12" s="5"/>
      <c r="E12" s="1"/>
      <c r="F12" s="1"/>
      <c r="G12" s="1"/>
      <c r="H12" s="1"/>
    </row>
    <row r="13" spans="2:11">
      <c r="B13" s="1"/>
      <c r="C13" s="1"/>
      <c r="D13" s="1"/>
      <c r="E13" s="1"/>
      <c r="F13" s="1"/>
      <c r="G13" s="1"/>
      <c r="H13" s="1"/>
    </row>
    <row r="14" spans="2:11">
      <c r="C14" t="s">
        <v>8</v>
      </c>
      <c r="K14" s="1"/>
    </row>
    <row r="15" spans="2:11">
      <c r="I15" s="8"/>
      <c r="K15" s="1"/>
    </row>
    <row r="16" spans="2:11">
      <c r="C16" s="9" t="s">
        <v>3</v>
      </c>
      <c r="D16" s="9" t="s">
        <v>5</v>
      </c>
      <c r="E16" s="9" t="s">
        <v>9</v>
      </c>
      <c r="F16" s="9" t="s">
        <v>10</v>
      </c>
      <c r="G16" s="9" t="s">
        <v>11</v>
      </c>
      <c r="H16" s="9" t="s">
        <v>12</v>
      </c>
      <c r="I16" s="8"/>
      <c r="K16" s="1"/>
    </row>
    <row r="17" spans="2:11">
      <c r="C17" s="7">
        <v>5.6</v>
      </c>
      <c r="D17" s="7">
        <v>5.8</v>
      </c>
      <c r="E17" s="7">
        <f>+(C17+D17)/2</f>
        <v>5.6999999999999993</v>
      </c>
      <c r="F17" s="7">
        <f>3*SIN(0.5*C17)-0.5*C17+2</f>
        <v>0.2049644504677155</v>
      </c>
      <c r="G17" s="7">
        <f>3*SIN(0.5*D17)-0.5*D17+2</f>
        <v>-0.18225201235805244</v>
      </c>
      <c r="H17" s="7">
        <f>3*SIN(0.5*E17)-0.5*E17+2</f>
        <v>1.2434037027634792E-2</v>
      </c>
      <c r="I17" s="8"/>
      <c r="K17" s="1"/>
    </row>
    <row r="18" spans="2:11">
      <c r="C18" s="7">
        <f>+E17</f>
        <v>5.6999999999999993</v>
      </c>
      <c r="D18" s="7">
        <f>+D17</f>
        <v>5.8</v>
      </c>
      <c r="E18" s="7">
        <f>+(C18+D18)/2</f>
        <v>5.75</v>
      </c>
      <c r="F18" s="7">
        <f>3*SIN(0.5*C18)-0.5*C18+2</f>
        <v>1.2434037027634792E-2</v>
      </c>
      <c r="G18" s="7">
        <f>3*SIN(0.5*D18)-0.5*D18+2</f>
        <v>-0.18225201235805244</v>
      </c>
      <c r="H18" s="7">
        <f>3*SIN(0.5*E18)-0.5*E18+2</f>
        <v>-8.4662019909737651E-2</v>
      </c>
      <c r="I18" s="8"/>
    </row>
    <row r="19" spans="2:11">
      <c r="C19" s="7">
        <f>+C18</f>
        <v>5.6999999999999993</v>
      </c>
      <c r="D19" s="7">
        <f>+E18</f>
        <v>5.75</v>
      </c>
      <c r="E19" s="7">
        <f>+(C19+D19)/2</f>
        <v>5.7249999999999996</v>
      </c>
      <c r="F19" s="7">
        <f>3*SIN(0.5*C19)-0.5*C19+2</f>
        <v>1.2434037027634792E-2</v>
      </c>
      <c r="G19" s="7">
        <f>3*SIN(0.5*D19)-0.5*D19+2</f>
        <v>-8.4662019909737651E-2</v>
      </c>
      <c r="H19" s="7">
        <f>3*SIN(0.5*E19)-0.5*E19+2</f>
        <v>-3.6049425830649184E-2</v>
      </c>
      <c r="I19" s="8"/>
    </row>
    <row r="20" spans="2:11">
      <c r="C20" s="7">
        <f>+C19</f>
        <v>5.6999999999999993</v>
      </c>
      <c r="D20" s="7">
        <f>+E19</f>
        <v>5.7249999999999996</v>
      </c>
      <c r="E20" s="7">
        <f>+(C20+D20)/2</f>
        <v>5.7124999999999995</v>
      </c>
      <c r="F20" s="7">
        <f>3*SIN(0.5*C20)-0.5*C20+2</f>
        <v>1.2434037027634792E-2</v>
      </c>
      <c r="G20" s="7">
        <f>3*SIN(0.5*D20)-0.5*D20+2</f>
        <v>-3.6049425830649184E-2</v>
      </c>
      <c r="H20" s="7">
        <f>3*SIN(0.5*E20)-0.5*E20+2</f>
        <v>-1.1791201119280892E-2</v>
      </c>
      <c r="I20" s="8"/>
    </row>
    <row r="21" spans="2:11">
      <c r="C21" s="7">
        <f>+C20</f>
        <v>5.6999999999999993</v>
      </c>
      <c r="D21" s="7">
        <f>+E20</f>
        <v>5.7124999999999995</v>
      </c>
      <c r="E21" s="16">
        <f>+(C21+D21)/2</f>
        <v>5.7062499999999989</v>
      </c>
      <c r="F21" s="7">
        <f>3*SIN(0.5*C21)-0.5*C21+2</f>
        <v>1.2434037027634792E-2</v>
      </c>
      <c r="G21" s="7">
        <f>3*SIN(0.5*D21)-0.5*D21+2</f>
        <v>-1.1791201119280892E-2</v>
      </c>
      <c r="H21" s="18">
        <f>3*SIN(0.5*E21)-0.5*E21+2</f>
        <v>3.2558518997216623E-4</v>
      </c>
      <c r="I21" s="8"/>
    </row>
    <row r="22" spans="2:11">
      <c r="B22" s="1"/>
      <c r="E22" s="8"/>
      <c r="F22" s="8"/>
      <c r="G22" s="8"/>
      <c r="H22" s="8"/>
      <c r="I22" s="1"/>
      <c r="J22" s="1"/>
    </row>
    <row r="23" spans="2:11">
      <c r="B23" s="1"/>
      <c r="C23" s="12"/>
      <c r="D23" s="10"/>
      <c r="E23" s="12"/>
      <c r="F23" s="10"/>
      <c r="G23" s="11"/>
      <c r="H23" s="8"/>
      <c r="I23" s="1"/>
      <c r="J23" s="1"/>
    </row>
    <row r="24" spans="2:11">
      <c r="C24" s="17" t="s">
        <v>13</v>
      </c>
      <c r="D24" s="12"/>
      <c r="E24" s="12"/>
      <c r="F24" s="10"/>
      <c r="G24" s="11"/>
      <c r="H24" s="8"/>
      <c r="I24" s="1"/>
      <c r="J24" s="1"/>
    </row>
    <row r="25" spans="2:11">
      <c r="C25" s="17"/>
      <c r="D25" s="12"/>
      <c r="E25" s="12"/>
      <c r="F25" s="10"/>
      <c r="G25" s="11"/>
      <c r="H25" s="8"/>
      <c r="I25" s="1"/>
      <c r="J25" s="1"/>
    </row>
    <row r="26" spans="2:11">
      <c r="H26" s="8"/>
    </row>
    <row r="27" spans="2:11">
      <c r="H27" s="8"/>
    </row>
    <row r="28" spans="2:11">
      <c r="C28" s="9" t="s">
        <v>1</v>
      </c>
      <c r="D28" s="9" t="s">
        <v>2</v>
      </c>
      <c r="E28" s="9" t="s">
        <v>14</v>
      </c>
      <c r="H28" s="8"/>
    </row>
    <row r="29" spans="2:11">
      <c r="C29" s="7">
        <v>5.6</v>
      </c>
      <c r="D29" s="7">
        <f>3*SIN(0.5*C29)-0.5*C29+2</f>
        <v>0.2049644504677155</v>
      </c>
      <c r="E29" s="7">
        <f>1.5*COS(0.5*C29)-0.5</f>
        <v>-1.9133335110029872</v>
      </c>
      <c r="H29" s="11"/>
    </row>
    <row r="30" spans="2:11">
      <c r="C30" s="7">
        <f>+C29-(D29/E29)</f>
        <v>5.7071242673005136</v>
      </c>
      <c r="D30" s="7">
        <f>3*SIN(0.5*C30)-0.5*C30+2</f>
        <v>-1.3688450421129872E-3</v>
      </c>
      <c r="E30" s="7">
        <f>1.5*COS(0.5*C30)-0.5</f>
        <v>-1.9382077908677902</v>
      </c>
      <c r="H30" s="10"/>
    </row>
    <row r="31" spans="2:11">
      <c r="C31" s="7">
        <f t="shared" ref="C31:C32" si="0">+C30-(D30/E30)</f>
        <v>5.7064180246321259</v>
      </c>
      <c r="D31" s="7">
        <f t="shared" ref="D31:D32" si="1">3*SIN(0.5*C31)-0.5*C31+2</f>
        <v>-5.3153092594016016E-8</v>
      </c>
      <c r="E31" s="7">
        <f t="shared" ref="E31:E32" si="2">1.5*COS(0.5*C31)-0.5</f>
        <v>-1.9380572373869582</v>
      </c>
      <c r="H31" s="13"/>
    </row>
    <row r="32" spans="2:11">
      <c r="C32" s="16">
        <f t="shared" si="0"/>
        <v>5.7064179972061595</v>
      </c>
      <c r="D32" s="7">
        <f t="shared" si="1"/>
        <v>0</v>
      </c>
      <c r="E32" s="7">
        <f t="shared" si="2"/>
        <v>-1.938057231536938</v>
      </c>
    </row>
    <row r="35" spans="3:11">
      <c r="C35" t="s">
        <v>15</v>
      </c>
      <c r="G35" t="s">
        <v>16</v>
      </c>
    </row>
    <row r="37" spans="3:11">
      <c r="C37" s="9" t="s">
        <v>17</v>
      </c>
      <c r="D37" s="9" t="s">
        <v>1</v>
      </c>
      <c r="E37" s="9" t="s">
        <v>2</v>
      </c>
      <c r="F37" s="9" t="s">
        <v>18</v>
      </c>
      <c r="H37" s="8"/>
      <c r="I37" s="8"/>
      <c r="J37" s="8"/>
      <c r="K37" s="8"/>
    </row>
    <row r="38" spans="3:11">
      <c r="C38" s="7">
        <v>0</v>
      </c>
      <c r="D38" s="7">
        <v>5.6</v>
      </c>
      <c r="E38" s="7">
        <f>3*SIN(0.5*D38)-0.5*D38+2</f>
        <v>0.2049644504677155</v>
      </c>
      <c r="F38" s="7">
        <v>5.0000000000000001E-4</v>
      </c>
      <c r="H38" s="8"/>
      <c r="I38" s="8"/>
      <c r="J38" s="8"/>
      <c r="K38" s="8"/>
    </row>
    <row r="39" spans="3:11">
      <c r="C39" s="7">
        <v>1</v>
      </c>
      <c r="D39" s="7">
        <v>5.8</v>
      </c>
      <c r="E39" s="7">
        <f>3*SIN(0.5*D39)-0.5*D39+2</f>
        <v>-0.18225201235805244</v>
      </c>
      <c r="F39" s="7"/>
      <c r="H39" s="8"/>
      <c r="I39" s="8"/>
      <c r="J39" s="8"/>
      <c r="K39" s="8"/>
    </row>
    <row r="40" spans="3:11">
      <c r="C40" s="7">
        <v>2</v>
      </c>
      <c r="D40" s="7">
        <f>+D39-E39*(D39-D38)/(E39-E38)</f>
        <v>5.7058655662375291</v>
      </c>
      <c r="E40" s="7">
        <f>3*SIN(0.5*D40)-0.5*D40+2</f>
        <v>1.0706102757900293E-3</v>
      </c>
      <c r="F40" s="7"/>
      <c r="H40" s="8"/>
      <c r="I40" s="8"/>
      <c r="J40" s="8"/>
      <c r="K40" s="8"/>
    </row>
    <row r="41" spans="3:11">
      <c r="C41" s="7">
        <v>3</v>
      </c>
      <c r="D41" s="7">
        <f t="shared" ref="D41:D42" si="3">+D40-E40*(D40-D39)/(E40-E39)</f>
        <v>5.7064153144936025</v>
      </c>
      <c r="E41" s="7">
        <f t="shared" ref="E41:E42" si="4">3*SIN(0.5*D41)-0.5*D41+2</f>
        <v>5.1992497036579266E-6</v>
      </c>
      <c r="F41" s="7"/>
      <c r="H41" s="8"/>
      <c r="I41" s="8"/>
      <c r="J41" s="8"/>
      <c r="K41" s="8"/>
    </row>
    <row r="42" spans="3:11">
      <c r="C42" s="7">
        <v>4</v>
      </c>
      <c r="D42" s="16">
        <f t="shared" si="3"/>
        <v>5.7064179972877422</v>
      </c>
      <c r="E42" s="7">
        <f t="shared" si="4"/>
        <v>-1.5811174591817689E-10</v>
      </c>
      <c r="F42" s="7"/>
      <c r="H42" s="8"/>
      <c r="I42" s="8"/>
      <c r="J42" s="8"/>
      <c r="K42" s="8"/>
    </row>
    <row r="45" spans="3:11">
      <c r="C45" t="s">
        <v>19</v>
      </c>
      <c r="E45" s="9">
        <v>1</v>
      </c>
    </row>
    <row r="46" spans="3:11">
      <c r="C46" s="21" t="s">
        <v>20</v>
      </c>
      <c r="D46" s="21"/>
      <c r="E46" s="24">
        <f>+E21</f>
        <v>5.7062499999999989</v>
      </c>
    </row>
    <row r="47" spans="3:11">
      <c r="C47" s="21" t="s">
        <v>21</v>
      </c>
      <c r="D47" s="21"/>
      <c r="E47" s="6">
        <f>+C32</f>
        <v>5.7064179972061595</v>
      </c>
    </row>
    <row r="48" spans="3:11">
      <c r="C48" s="25" t="s">
        <v>22</v>
      </c>
      <c r="D48" s="25"/>
      <c r="E48" s="6">
        <f>+D42</f>
        <v>5.7064179972877422</v>
      </c>
    </row>
  </sheetData>
  <mergeCells count="1">
    <mergeCell ref="C48:D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A77A-F9DE-4E9D-B56F-CCE39B569E4A}">
  <dimension ref="B8:V59"/>
  <sheetViews>
    <sheetView topLeftCell="A46" workbookViewId="0">
      <selection activeCell="H56" sqref="H56"/>
    </sheetView>
  </sheetViews>
  <sheetFormatPr defaultRowHeight="15"/>
  <sheetData>
    <row r="8" spans="2:8">
      <c r="B8" s="1"/>
      <c r="C8" s="3" t="s">
        <v>1</v>
      </c>
      <c r="D8" s="3" t="s">
        <v>2</v>
      </c>
      <c r="E8" s="1"/>
      <c r="F8" s="1"/>
      <c r="G8" s="1"/>
      <c r="H8" s="1"/>
    </row>
    <row r="9" spans="2:8">
      <c r="B9" s="1" t="s">
        <v>3</v>
      </c>
      <c r="C9" s="4">
        <v>-1.5</v>
      </c>
      <c r="D9" s="4">
        <f>+C9^3-C9^2*EXP(-0.5*C9)-3*C9+1</f>
        <v>-2.6382500373785192</v>
      </c>
      <c r="E9" s="1"/>
      <c r="F9" s="1" t="s">
        <v>4</v>
      </c>
      <c r="G9" s="1"/>
      <c r="H9" s="1"/>
    </row>
    <row r="10" spans="2:8">
      <c r="B10" s="1" t="s">
        <v>5</v>
      </c>
      <c r="C10" s="4">
        <v>-1.1000000000000001</v>
      </c>
      <c r="D10" s="4">
        <f>+C10^3-C10^2*EXP(-0.5*C10)-3*C10+1</f>
        <v>0.87176384838045129</v>
      </c>
      <c r="E10" s="1"/>
      <c r="F10" s="1"/>
      <c r="G10" s="1"/>
      <c r="H10" s="1"/>
    </row>
    <row r="11" spans="2:8">
      <c r="B11" s="1"/>
      <c r="C11" s="1"/>
      <c r="D11" s="1"/>
      <c r="E11" s="1"/>
      <c r="F11" s="1" t="s">
        <v>6</v>
      </c>
      <c r="G11" s="1"/>
      <c r="H11" s="1"/>
    </row>
    <row r="12" spans="2:8">
      <c r="B12" s="1" t="s">
        <v>3</v>
      </c>
      <c r="C12" s="4">
        <v>0.2</v>
      </c>
      <c r="D12" s="5">
        <f>+C12^3-C12^2*EXP(-0.5*C12)-3*C12+1</f>
        <v>0.37180650327856157</v>
      </c>
      <c r="E12" s="1"/>
      <c r="F12" s="1" t="s">
        <v>7</v>
      </c>
      <c r="G12" s="1"/>
      <c r="H12" s="1"/>
    </row>
    <row r="13" spans="2:8">
      <c r="B13" s="1" t="s">
        <v>5</v>
      </c>
      <c r="C13" s="4">
        <v>0.4</v>
      </c>
      <c r="D13" s="5">
        <f>+C13^3-C13^2*EXP(-0.5*C13)-3*C13+1</f>
        <v>-0.26699692049247736</v>
      </c>
      <c r="E13" s="1"/>
      <c r="F13" s="1"/>
      <c r="G13" s="1"/>
      <c r="H13" s="1"/>
    </row>
    <row r="14" spans="2:8">
      <c r="B14" s="1"/>
      <c r="C14" s="1"/>
      <c r="D14" s="1"/>
      <c r="E14" s="1"/>
      <c r="F14" s="1"/>
      <c r="G14" s="1"/>
      <c r="H14" s="1"/>
    </row>
    <row r="15" spans="2:8">
      <c r="B15" s="1" t="s">
        <v>3</v>
      </c>
      <c r="C15" s="4">
        <v>1.6</v>
      </c>
      <c r="D15" s="5">
        <f>+C15^3-C15^2*EXP(-0.5*C15)-3*C15+1</f>
        <v>-0.85428214814008729</v>
      </c>
    </row>
    <row r="16" spans="2:8">
      <c r="B16" s="1" t="s">
        <v>5</v>
      </c>
      <c r="C16" s="4">
        <v>1.8</v>
      </c>
      <c r="D16" s="5">
        <f>+C16^3-C16^2*EXP(-0.5*C16)-3*C16+1</f>
        <v>0.11471430244045955</v>
      </c>
    </row>
    <row r="19" spans="2:22">
      <c r="C19" t="s">
        <v>8</v>
      </c>
    </row>
    <row r="20" spans="2:22">
      <c r="C20" s="9" t="s">
        <v>3</v>
      </c>
      <c r="D20" s="9" t="s">
        <v>5</v>
      </c>
      <c r="E20" s="9" t="s">
        <v>9</v>
      </c>
      <c r="F20" s="9" t="s">
        <v>10</v>
      </c>
      <c r="G20" s="9" t="s">
        <v>11</v>
      </c>
      <c r="H20" s="9" t="s">
        <v>12</v>
      </c>
      <c r="I20" s="8"/>
      <c r="J20" s="9" t="s">
        <v>3</v>
      </c>
      <c r="K20" s="9" t="s">
        <v>5</v>
      </c>
      <c r="L20" s="9" t="s">
        <v>9</v>
      </c>
      <c r="M20" s="9" t="s">
        <v>10</v>
      </c>
      <c r="N20" s="9" t="s">
        <v>11</v>
      </c>
      <c r="O20" s="9" t="s">
        <v>12</v>
      </c>
      <c r="Q20" s="9" t="s">
        <v>3</v>
      </c>
      <c r="R20" s="9" t="s">
        <v>5</v>
      </c>
      <c r="S20" s="9" t="s">
        <v>9</v>
      </c>
      <c r="T20" s="9" t="s">
        <v>10</v>
      </c>
      <c r="U20" s="9" t="s">
        <v>11</v>
      </c>
      <c r="V20" s="9" t="s">
        <v>12</v>
      </c>
    </row>
    <row r="21" spans="2:22">
      <c r="C21" s="7">
        <v>-1.3</v>
      </c>
      <c r="D21" s="7">
        <v>-1.1000000000000001</v>
      </c>
      <c r="E21" s="7">
        <f>+(C21+D21)/2</f>
        <v>-1.2000000000000002</v>
      </c>
      <c r="F21" s="7">
        <f>+C21^3-C21^2*EXP(-0.5*C21)-3*C21+1</f>
        <v>-0.5342640010334847</v>
      </c>
      <c r="G21" s="7">
        <f t="shared" ref="G21:H21" si="0">+D21^3-D21^2*EXP(-0.5*D21)-3*D21+1</f>
        <v>0.87176384838045129</v>
      </c>
      <c r="H21" s="7">
        <f t="shared" si="0"/>
        <v>0.24814892743766581</v>
      </c>
      <c r="I21" s="8"/>
      <c r="J21" s="7">
        <v>0.2</v>
      </c>
      <c r="K21" s="7">
        <v>0.4</v>
      </c>
      <c r="L21" s="7">
        <f>+(J21+K21)/2</f>
        <v>0.30000000000000004</v>
      </c>
      <c r="M21" s="7">
        <f>+J21^3-J21^2*EXP(-0.5*J21)-3*J21+1</f>
        <v>0.37180650327856157</v>
      </c>
      <c r="N21" s="7">
        <f t="shared" ref="N21:N32" si="1">+K21^3-K21^2*EXP(-0.5*K21)-3*K21+1</f>
        <v>-0.26699692049247736</v>
      </c>
      <c r="O21" s="7">
        <f t="shared" ref="O21:O32" si="2">+L21^3-L21^2*EXP(-0.5*L21)-3*L21+1</f>
        <v>4.9536282121744657E-2</v>
      </c>
      <c r="Q21" s="7">
        <v>1.6</v>
      </c>
      <c r="R21" s="7">
        <v>1.8</v>
      </c>
      <c r="S21" s="7">
        <f>+(Q21+R21)/2</f>
        <v>1.7000000000000002</v>
      </c>
      <c r="T21" s="7">
        <f>+Q21^3-Q21^2*EXP(-0.5*Q21)-3*Q21+1</f>
        <v>-0.85428214814008729</v>
      </c>
      <c r="U21" s="7">
        <f t="shared" ref="U21:U32" si="3">+R21^3-R21^2*EXP(-0.5*R21)-3*R21+1</f>
        <v>0.11471430244045955</v>
      </c>
      <c r="V21" s="7">
        <f t="shared" ref="V21:V32" si="4">+S21^3-S21^2*EXP(-0.5*S21)-3*S21+1</f>
        <v>-0.42222915333181987</v>
      </c>
    </row>
    <row r="22" spans="2:22">
      <c r="C22" s="7">
        <f>+C21</f>
        <v>-1.3</v>
      </c>
      <c r="D22" s="7">
        <f>+E21</f>
        <v>-1.2000000000000002</v>
      </c>
      <c r="E22" s="7">
        <f>+(C22+D22)/2</f>
        <v>-1.25</v>
      </c>
      <c r="F22" s="7">
        <f>+C22^3-C22^2*EXP(-0.5*C22)-3*C22+1</f>
        <v>-0.5342640010334847</v>
      </c>
      <c r="G22" s="7">
        <f t="shared" ref="G22" si="5">+D22^3-D22^2*EXP(-0.5*D22)-3*D22+1</f>
        <v>0.24814892743766581</v>
      </c>
      <c r="H22" s="7">
        <f t="shared" ref="H22" si="6">+E22^3-E22^2*EXP(-0.5*E22)-3*E22+1</f>
        <v>-0.12225930848784738</v>
      </c>
      <c r="I22" s="8"/>
      <c r="J22" s="7">
        <f>+L21</f>
        <v>0.30000000000000004</v>
      </c>
      <c r="K22" s="7">
        <f>+K21</f>
        <v>0.4</v>
      </c>
      <c r="L22" s="7">
        <f>+(J22+K22)/2</f>
        <v>0.35000000000000003</v>
      </c>
      <c r="M22" s="7">
        <f>+J22^3-J22^2*EXP(-0.5*J22)-3*J22+1</f>
        <v>4.9536282121744657E-2</v>
      </c>
      <c r="N22" s="7">
        <f t="shared" ref="N22" si="7">+K22^3-K22^2*EXP(-0.5*K22)-3*K22+1</f>
        <v>-0.26699692049247736</v>
      </c>
      <c r="O22" s="7">
        <f t="shared" ref="O22" si="8">+L22^3-L22^2*EXP(-0.5*L22)-3*L22+1</f>
        <v>-0.10995848504422789</v>
      </c>
      <c r="Q22" s="7">
        <f>+S21</f>
        <v>1.7000000000000002</v>
      </c>
      <c r="R22" s="7">
        <f>+R21</f>
        <v>1.8</v>
      </c>
      <c r="S22" s="7">
        <f>+(Q22+R22)/2</f>
        <v>1.75</v>
      </c>
      <c r="T22" s="7">
        <f>+Q22^3-Q22^2*EXP(-0.5*Q22)-3*Q22+1</f>
        <v>-0.42222915333181987</v>
      </c>
      <c r="U22" s="7">
        <f t="shared" ref="U22" si="9">+R22^3-R22^2*EXP(-0.5*R22)-3*R22+1</f>
        <v>0.11471430244045955</v>
      </c>
      <c r="V22" s="7">
        <f t="shared" ref="V22" si="10">+S22^3-S22^2*EXP(-0.5*S22)-3*S22+1</f>
        <v>-0.16726493526543162</v>
      </c>
    </row>
    <row r="23" spans="2:22">
      <c r="C23" s="7">
        <f>+E22</f>
        <v>-1.25</v>
      </c>
      <c r="D23" s="7">
        <f>+D22</f>
        <v>-1.2000000000000002</v>
      </c>
      <c r="E23" s="7">
        <f>+(C23+D23)/2</f>
        <v>-1.2250000000000001</v>
      </c>
      <c r="F23" s="7">
        <f>+C23^3-C23^2*EXP(-0.5*C23)-3*C23+1</f>
        <v>-0.12225930848784738</v>
      </c>
      <c r="G23" s="7">
        <f t="shared" ref="G23" si="11">+D23^3-D23^2*EXP(-0.5*D23)-3*D23+1</f>
        <v>0.24814892743766581</v>
      </c>
      <c r="H23" s="7">
        <f t="shared" ref="H23" si="12">+E23^3-E23^2*EXP(-0.5*E23)-3*E23+1</f>
        <v>6.8023875970360859E-2</v>
      </c>
      <c r="I23" s="8"/>
      <c r="J23" s="7">
        <f>+J22</f>
        <v>0.30000000000000004</v>
      </c>
      <c r="K23" s="7">
        <f>+L22</f>
        <v>0.35000000000000003</v>
      </c>
      <c r="L23" s="7">
        <f>+(J23+K23)/2</f>
        <v>0.32500000000000007</v>
      </c>
      <c r="M23" s="7">
        <f>+J23^3-J23^2*EXP(-0.5*J23)-3*J23+1</f>
        <v>4.9536282121744657E-2</v>
      </c>
      <c r="N23" s="7">
        <f t="shared" ref="N23" si="13">+K23^3-K23^2*EXP(-0.5*K23)-3*K23+1</f>
        <v>-0.10995848504422789</v>
      </c>
      <c r="O23" s="7">
        <f t="shared" ref="O23" si="14">+L23^3-L23^2*EXP(-0.5*L23)-3*L23+1</f>
        <v>-3.0454824530057989E-2</v>
      </c>
      <c r="Q23" s="7">
        <f>+S22</f>
        <v>1.75</v>
      </c>
      <c r="R23" s="7">
        <f>+R22</f>
        <v>1.8</v>
      </c>
      <c r="S23" s="7">
        <f>+(Q23+R23)/2</f>
        <v>1.7749999999999999</v>
      </c>
      <c r="T23" s="7">
        <f>+Q23^3-Q23^2*EXP(-0.5*Q23)-3*Q23+1</f>
        <v>-0.16726493526543162</v>
      </c>
      <c r="U23" s="7">
        <f t="shared" ref="U23" si="15">+R23^3-R23^2*EXP(-0.5*R23)-3*R23+1</f>
        <v>0.11471430244045955</v>
      </c>
      <c r="V23" s="7">
        <f t="shared" ref="V23" si="16">+S23^3-S23^2*EXP(-0.5*S23)-3*S23+1</f>
        <v>-2.9701508283960898E-2</v>
      </c>
    </row>
    <row r="24" spans="2:22">
      <c r="C24" s="7">
        <f>+C23</f>
        <v>-1.25</v>
      </c>
      <c r="D24" s="7">
        <f>+E23</f>
        <v>-1.2250000000000001</v>
      </c>
      <c r="E24" s="7">
        <f>+(C24+D24)/2</f>
        <v>-1.2375</v>
      </c>
      <c r="F24" s="7">
        <f>+C24^3-C24^2*EXP(-0.5*C24)-3*C24+1</f>
        <v>-0.12225930848784738</v>
      </c>
      <c r="G24" s="7">
        <f t="shared" ref="G24" si="17">+D24^3-D24^2*EXP(-0.5*D24)-3*D24+1</f>
        <v>6.8023875970360859E-2</v>
      </c>
      <c r="H24" s="7">
        <f t="shared" ref="H24" si="18">+E24^3-E24^2*EXP(-0.5*E24)-3*E24+1</f>
        <v>-2.5833011547579332E-2</v>
      </c>
      <c r="I24" s="8"/>
      <c r="J24" s="7">
        <f>+J23</f>
        <v>0.30000000000000004</v>
      </c>
      <c r="K24" s="7">
        <f>+L23</f>
        <v>0.32500000000000007</v>
      </c>
      <c r="L24" s="7">
        <f>+(J24+K24)/2</f>
        <v>0.31250000000000006</v>
      </c>
      <c r="M24" s="7">
        <f>+J24^3-J24^2*EXP(-0.5*J24)-3*J24+1</f>
        <v>4.9536282121744657E-2</v>
      </c>
      <c r="N24" s="7">
        <f t="shared" ref="N24" si="19">+K24^3-K24^2*EXP(-0.5*K24)-3*K24+1</f>
        <v>-3.0454824530057989E-2</v>
      </c>
      <c r="O24" s="7">
        <f t="shared" ref="O24" si="20">+L24^3-L24^2*EXP(-0.5*L24)-3*L24+1</f>
        <v>9.4877610051342653E-3</v>
      </c>
      <c r="Q24" s="7">
        <f>+S23</f>
        <v>1.7749999999999999</v>
      </c>
      <c r="R24" s="7">
        <f>+R23</f>
        <v>1.8</v>
      </c>
      <c r="S24" s="7">
        <f>+(Q24+R24)/2</f>
        <v>1.7875000000000001</v>
      </c>
      <c r="T24" s="7">
        <f>+Q24^3-Q24^2*EXP(-0.5*Q24)-3*Q24+1</f>
        <v>-2.9701508283960898E-2</v>
      </c>
      <c r="U24" s="7">
        <f t="shared" ref="U24" si="21">+R24^3-R24^2*EXP(-0.5*R24)-3*R24+1</f>
        <v>0.11471430244045955</v>
      </c>
      <c r="V24" s="7">
        <f t="shared" ref="V24" si="22">+S24^3-S24^2*EXP(-0.5*S24)-3*S24+1</f>
        <v>4.1643697479084807E-2</v>
      </c>
    </row>
    <row r="25" spans="2:22">
      <c r="C25" s="7">
        <f>+E24</f>
        <v>-1.2375</v>
      </c>
      <c r="D25" s="7">
        <f>+D24</f>
        <v>-1.2250000000000001</v>
      </c>
      <c r="E25" s="7">
        <f>+(C25+D25)/2</f>
        <v>-1.2312500000000002</v>
      </c>
      <c r="F25" s="7">
        <f>+C25^3-C25^2*EXP(-0.5*C25)-3*C25+1</f>
        <v>-2.5833011547579332E-2</v>
      </c>
      <c r="G25" s="7">
        <f t="shared" ref="G25" si="23">+D25^3-D25^2*EXP(-0.5*D25)-3*D25+1</f>
        <v>6.8023875970360859E-2</v>
      </c>
      <c r="H25" s="7">
        <f t="shared" ref="H25" si="24">+E25^3-E25^2*EXP(-0.5*E25)-3*E25+1</f>
        <v>2.1414733507094219E-2</v>
      </c>
      <c r="I25" s="8"/>
      <c r="J25" s="7">
        <f>+L24</f>
        <v>0.31250000000000006</v>
      </c>
      <c r="K25" s="7">
        <f>+K24</f>
        <v>0.32500000000000007</v>
      </c>
      <c r="L25" s="7">
        <f>+(J25+K25)/2</f>
        <v>0.31875000000000009</v>
      </c>
      <c r="M25" s="7">
        <f>+J25^3-J25^2*EXP(-0.5*J25)-3*J25+1</f>
        <v>9.4877610051342653E-3</v>
      </c>
      <c r="N25" s="7">
        <f t="shared" ref="N25" si="25">+K25^3-K25^2*EXP(-0.5*K25)-3*K25+1</f>
        <v>-3.0454824530057989E-2</v>
      </c>
      <c r="O25" s="7">
        <f t="shared" ref="O25" si="26">+L25^3-L25^2*EXP(-0.5*L25)-3*L25+1</f>
        <v>-1.0497771263045408E-2</v>
      </c>
      <c r="Q25" s="7">
        <f>+Q24</f>
        <v>1.7749999999999999</v>
      </c>
      <c r="R25" s="7">
        <f>+S24</f>
        <v>1.7875000000000001</v>
      </c>
      <c r="S25" s="7">
        <f>+(Q25+R25)/2</f>
        <v>1.78125</v>
      </c>
      <c r="T25" s="7">
        <f>+Q25^3-Q25^2*EXP(-0.5*Q25)-3*Q25+1</f>
        <v>-2.9701508283960898E-2</v>
      </c>
      <c r="U25" s="7">
        <f t="shared" ref="U25" si="27">+R25^3-R25^2*EXP(-0.5*R25)-3*R25+1</f>
        <v>4.1643697479084807E-2</v>
      </c>
      <c r="V25" s="7">
        <f t="shared" ref="V25" si="28">+S25^3-S25^2*EXP(-0.5*S25)-3*S25+1</f>
        <v>5.7561880955994127E-3</v>
      </c>
    </row>
    <row r="26" spans="2:22">
      <c r="C26" s="7">
        <f>+C25</f>
        <v>-1.2375</v>
      </c>
      <c r="D26" s="7">
        <f>+E25</f>
        <v>-1.2312500000000002</v>
      </c>
      <c r="E26" s="7">
        <f>+(C26+D26)/2</f>
        <v>-1.234375</v>
      </c>
      <c r="F26" s="7">
        <f>+C26^3-C26^2*EXP(-0.5*C26)-3*C26+1</f>
        <v>-2.5833011547579332E-2</v>
      </c>
      <c r="G26" s="7">
        <f t="shared" ref="G26" si="29">+D26^3-D26^2*EXP(-0.5*D26)-3*D26+1</f>
        <v>2.1414733507094219E-2</v>
      </c>
      <c r="H26" s="7">
        <f t="shared" ref="H26" si="30">+E26^3-E26^2*EXP(-0.5*E26)-3*E26+1</f>
        <v>-2.1290798148916323E-3</v>
      </c>
      <c r="I26" s="8"/>
      <c r="J26" s="7">
        <f>+J25</f>
        <v>0.31250000000000006</v>
      </c>
      <c r="K26" s="7">
        <f>+L25</f>
        <v>0.31875000000000009</v>
      </c>
      <c r="L26" s="7">
        <f>+(J26+K26)/2</f>
        <v>0.31562500000000004</v>
      </c>
      <c r="M26" s="7">
        <f>+J26^3-J26^2*EXP(-0.5*J26)-3*J26+1</f>
        <v>9.4877610051342653E-3</v>
      </c>
      <c r="N26" s="7">
        <f t="shared" ref="N26" si="31">+K26^3-K26^2*EXP(-0.5*K26)-3*K26+1</f>
        <v>-1.0497771263045408E-2</v>
      </c>
      <c r="O26" s="7">
        <f t="shared" ref="O26" si="32">+L26^3-L26^2*EXP(-0.5*L26)-3*L26+1</f>
        <v>-5.0844044709497105E-4</v>
      </c>
      <c r="Q26" s="7">
        <f>+Q25</f>
        <v>1.7749999999999999</v>
      </c>
      <c r="R26" s="7">
        <f>+S25</f>
        <v>1.78125</v>
      </c>
      <c r="S26" s="7">
        <f>+(Q26+R26)/2</f>
        <v>1.778125</v>
      </c>
      <c r="T26" s="7">
        <f>+Q26^3-Q26^2*EXP(-0.5*Q26)-3*Q26+1</f>
        <v>-2.9701508283960898E-2</v>
      </c>
      <c r="U26" s="7">
        <f t="shared" ref="U26" si="33">+R26^3-R26^2*EXP(-0.5*R26)-3*R26+1</f>
        <v>5.7561880955994127E-3</v>
      </c>
      <c r="V26" s="7">
        <f t="shared" ref="V26" si="34">+S26^3-S26^2*EXP(-0.5*S26)-3*S26+1</f>
        <v>-1.2026290621571789E-2</v>
      </c>
    </row>
    <row r="27" spans="2:22">
      <c r="B27" s="1"/>
      <c r="C27" s="7">
        <f>+E26</f>
        <v>-1.234375</v>
      </c>
      <c r="D27" s="7">
        <f>+D26</f>
        <v>-1.2312500000000002</v>
      </c>
      <c r="E27" s="7">
        <f>+(C27+D27)/2</f>
        <v>-1.2328125000000001</v>
      </c>
      <c r="F27" s="7">
        <f>+C27^3-C27^2*EXP(-0.5*C27)-3*C27+1</f>
        <v>-2.1290798148916323E-3</v>
      </c>
      <c r="G27" s="7">
        <f t="shared" ref="G27" si="35">+D27^3-D27^2*EXP(-0.5*D27)-3*D27+1</f>
        <v>2.1414733507094219E-2</v>
      </c>
      <c r="H27" s="7">
        <f t="shared" ref="H27" si="36">+E27^3-E27^2*EXP(-0.5*E27)-3*E27+1</f>
        <v>9.6628123824120671E-3</v>
      </c>
      <c r="I27" s="1"/>
      <c r="J27" s="7">
        <f>+J26</f>
        <v>0.31250000000000006</v>
      </c>
      <c r="K27" s="7">
        <f>+L26</f>
        <v>0.31562500000000004</v>
      </c>
      <c r="L27" s="7">
        <f>+(J27+K27)/2</f>
        <v>0.31406250000000002</v>
      </c>
      <c r="M27" s="7">
        <f>+J27^3-J27^2*EXP(-0.5*J27)-3*J27+1</f>
        <v>9.4877610051342653E-3</v>
      </c>
      <c r="N27" s="7">
        <f t="shared" ref="N27" si="37">+K27^3-K27^2*EXP(-0.5*K27)-3*K27+1</f>
        <v>-5.0844044709497105E-4</v>
      </c>
      <c r="O27" s="7">
        <f t="shared" ref="O27" si="38">+L27^3-L27^2*EXP(-0.5*L27)-3*L27+1</f>
        <v>4.488817031078618E-3</v>
      </c>
      <c r="Q27" s="7">
        <f>+S26</f>
        <v>1.778125</v>
      </c>
      <c r="R27" s="7">
        <f>+R26</f>
        <v>1.78125</v>
      </c>
      <c r="S27" s="7">
        <f>+(Q27+R27)/2</f>
        <v>1.7796875000000001</v>
      </c>
      <c r="T27" s="7">
        <f>+Q27^3-Q27^2*EXP(-0.5*Q27)-3*Q27+1</f>
        <v>-1.2026290621571789E-2</v>
      </c>
      <c r="U27" s="7">
        <f t="shared" ref="U27" si="39">+R27^3-R27^2*EXP(-0.5*R27)-3*R27+1</f>
        <v>5.7561880955994127E-3</v>
      </c>
      <c r="V27" s="7">
        <f t="shared" ref="V27" si="40">+S27^3-S27^2*EXP(-0.5*S27)-3*S27+1</f>
        <v>-3.1484709092648444E-3</v>
      </c>
    </row>
    <row r="28" spans="2:22">
      <c r="B28" s="1"/>
      <c r="C28" s="7">
        <f>+C27</f>
        <v>-1.234375</v>
      </c>
      <c r="D28" s="7">
        <f>+E27</f>
        <v>-1.2328125000000001</v>
      </c>
      <c r="E28" s="7">
        <f>+(C28+D28)/2</f>
        <v>-1.23359375</v>
      </c>
      <c r="F28" s="7">
        <f>+C28^3-C28^2*EXP(-0.5*C28)-3*C28+1</f>
        <v>-2.1290798148916323E-3</v>
      </c>
      <c r="G28" s="7">
        <f t="shared" ref="G28" si="41">+D28^3-D28^2*EXP(-0.5*D28)-3*D28+1</f>
        <v>9.6628123824120671E-3</v>
      </c>
      <c r="H28" s="7">
        <f t="shared" ref="H28" si="42">+E28^3-E28^2*EXP(-0.5*E28)-3*E28+1</f>
        <v>3.7718663240982053E-3</v>
      </c>
      <c r="I28" s="1"/>
      <c r="J28" s="7">
        <f>+L27</f>
        <v>0.31406250000000002</v>
      </c>
      <c r="K28" s="7">
        <f>+K27</f>
        <v>0.31562500000000004</v>
      </c>
      <c r="L28" s="7">
        <f>+(J28+K28)/2</f>
        <v>0.31484375000000003</v>
      </c>
      <c r="M28" s="7">
        <f>+J28^3-J28^2*EXP(-0.5*J28)-3*J28+1</f>
        <v>4.488817031078618E-3</v>
      </c>
      <c r="N28" s="7">
        <f t="shared" ref="N28" si="43">+K28^3-K28^2*EXP(-0.5*K28)-3*K28+1</f>
        <v>-5.0844044709497105E-4</v>
      </c>
      <c r="O28" s="7">
        <f t="shared" ref="O28" si="44">+L28^3-L28^2*EXP(-0.5*L28)-3*L28+1</f>
        <v>1.989975531772159E-3</v>
      </c>
      <c r="Q28" s="7">
        <f>+S27</f>
        <v>1.7796875000000001</v>
      </c>
      <c r="R28" s="7">
        <f>+R27</f>
        <v>1.78125</v>
      </c>
      <c r="S28" s="7">
        <f>+(Q28+R28)/2</f>
        <v>1.78046875</v>
      </c>
      <c r="T28" s="7">
        <f>+Q28^3-Q28^2*EXP(-0.5*Q28)-3*Q28+1</f>
        <v>-3.1484709092648444E-3</v>
      </c>
      <c r="U28" s="7">
        <f t="shared" ref="U28" si="45">+R28^3-R28^2*EXP(-0.5*R28)-3*R28+1</f>
        <v>5.7561880955994127E-3</v>
      </c>
      <c r="V28" s="7">
        <f t="shared" ref="V28" si="46">+S28^3-S28^2*EXP(-0.5*S28)-3*S28+1</f>
        <v>1.3005021799834537E-3</v>
      </c>
    </row>
    <row r="29" spans="2:22">
      <c r="C29" s="7">
        <f>+C28</f>
        <v>-1.234375</v>
      </c>
      <c r="D29" s="7">
        <f>+E28</f>
        <v>-1.23359375</v>
      </c>
      <c r="E29" s="7">
        <f>+(C29+D29)/2</f>
        <v>-1.2339843749999999</v>
      </c>
      <c r="F29" s="7">
        <f>+C29^3-C29^2*EXP(-0.5*C29)-3*C29+1</f>
        <v>-2.1290798148916323E-3</v>
      </c>
      <c r="G29" s="7">
        <f t="shared" ref="G29" si="47">+D29^3-D29^2*EXP(-0.5*D29)-3*D29+1</f>
        <v>3.7718663240982053E-3</v>
      </c>
      <c r="H29" s="7">
        <f t="shared" ref="H29" si="48">+E29^3-E29^2*EXP(-0.5*E29)-3*E29+1</f>
        <v>8.2264372188456392E-4</v>
      </c>
      <c r="I29" s="1"/>
      <c r="J29" s="7">
        <f>+L28</f>
        <v>0.31484375000000003</v>
      </c>
      <c r="K29" s="7">
        <f>+K28</f>
        <v>0.31562500000000004</v>
      </c>
      <c r="L29" s="7">
        <f>+(J29+K29)/2</f>
        <v>0.31523437500000007</v>
      </c>
      <c r="M29" s="7">
        <f>+J29^3-J29^2*EXP(-0.5*J29)-3*J29+1</f>
        <v>1.989975531772159E-3</v>
      </c>
      <c r="N29" s="7">
        <f t="shared" ref="N29" si="49">+K29^3-K29^2*EXP(-0.5*K29)-3*K29+1</f>
        <v>-5.0844044709497105E-4</v>
      </c>
      <c r="O29" s="7">
        <f t="shared" ref="O29" si="50">+L29^3-L29^2*EXP(-0.5*L29)-3*L29+1</f>
        <v>7.4071410880116595E-4</v>
      </c>
      <c r="Q29" s="7">
        <f>+Q28</f>
        <v>1.7796875000000001</v>
      </c>
      <c r="R29" s="7">
        <f>+S28</f>
        <v>1.78046875</v>
      </c>
      <c r="S29" s="7">
        <f>+(Q29+R29)/2</f>
        <v>1.7800781250000002</v>
      </c>
      <c r="T29" s="7">
        <f>+Q29^3-Q29^2*EXP(-0.5*Q29)-3*Q29+1</f>
        <v>-3.1484709092648444E-3</v>
      </c>
      <c r="U29" s="7">
        <f t="shared" ref="U29" si="51">+R29^3-R29^2*EXP(-0.5*R29)-3*R29+1</f>
        <v>1.3005021799834537E-3</v>
      </c>
      <c r="V29" s="7">
        <f t="shared" ref="V29" si="52">+S29^3-S29^2*EXP(-0.5*S29)-3*S29+1</f>
        <v>-9.2482328024257043E-4</v>
      </c>
    </row>
    <row r="30" spans="2:22">
      <c r="C30" s="7">
        <f>+C29</f>
        <v>-1.234375</v>
      </c>
      <c r="D30" s="4">
        <f>+E29</f>
        <v>-1.2339843749999999</v>
      </c>
      <c r="E30" s="7">
        <f>+(C30+D30)/2</f>
        <v>-1.2341796875</v>
      </c>
      <c r="F30" s="7">
        <f>+C30^3-C30^2*EXP(-0.5*C30)-3*C30+1</f>
        <v>-2.1290798148916323E-3</v>
      </c>
      <c r="G30" s="7">
        <f t="shared" ref="G30" si="53">+D30^3-D30^2*EXP(-0.5*D30)-3*D30+1</f>
        <v>8.2264372188456392E-4</v>
      </c>
      <c r="H30" s="7">
        <f t="shared" ref="H30" si="54">+E30^3-E30^2*EXP(-0.5*E30)-3*E30+1</f>
        <v>-6.5290537252415959E-4</v>
      </c>
      <c r="I30" s="1"/>
      <c r="J30" s="7">
        <f>+L29</f>
        <v>0.31523437500000007</v>
      </c>
      <c r="K30" s="4">
        <f>+K29</f>
        <v>0.31562500000000004</v>
      </c>
      <c r="L30" s="16">
        <f>+(J30+K30)/2</f>
        <v>0.31542968750000006</v>
      </c>
      <c r="M30" s="7">
        <f>+J30^3-J30^2*EXP(-0.5*J30)-3*J30+1</f>
        <v>7.4071410880116595E-4</v>
      </c>
      <c r="N30" s="7">
        <f t="shared" ref="N30" si="55">+K30^3-K30^2*EXP(-0.5*K30)-3*K30+1</f>
        <v>-5.0844044709497105E-4</v>
      </c>
      <c r="O30" s="18">
        <f t="shared" ref="O30" si="56">+L30^3-L30^2*EXP(-0.5*L30)-3*L30+1</f>
        <v>1.1612344203637548E-4</v>
      </c>
      <c r="Q30" s="7">
        <f>+S29</f>
        <v>1.7800781250000002</v>
      </c>
      <c r="R30" s="4">
        <f>+R29</f>
        <v>1.78046875</v>
      </c>
      <c r="S30" s="16">
        <f>+(Q30+R30)/2</f>
        <v>1.7802734375</v>
      </c>
      <c r="T30" s="7">
        <f>+Q30^3-Q30^2*EXP(-0.5*Q30)-3*Q30+1</f>
        <v>-9.2482328024257043E-4</v>
      </c>
      <c r="U30" s="7">
        <f t="shared" ref="U30" si="57">+R30^3-R30^2*EXP(-0.5*R30)-3*R30+1</f>
        <v>1.3005021799834537E-3</v>
      </c>
      <c r="V30" s="18">
        <f t="shared" ref="V30" si="58">+S30^3-S30^2*EXP(-0.5*S30)-3*S30+1</f>
        <v>1.8762969750696357E-4</v>
      </c>
    </row>
    <row r="31" spans="2:22">
      <c r="C31" s="7">
        <f>+E30</f>
        <v>-1.2341796875</v>
      </c>
      <c r="D31" s="7">
        <f>+D30</f>
        <v>-1.2339843749999999</v>
      </c>
      <c r="E31" s="7">
        <f>+(C31+D31)/2</f>
        <v>-1.2340820312499998</v>
      </c>
      <c r="F31" s="7">
        <f>+C31^3-C31^2*EXP(-0.5*C31)-3*C31+1</f>
        <v>-6.5290537252415959E-4</v>
      </c>
      <c r="G31" s="7">
        <f t="shared" ref="G31" si="59">+D31^3-D31^2*EXP(-0.5*D31)-3*D31+1</f>
        <v>8.2264372188456392E-4</v>
      </c>
      <c r="H31" s="7">
        <f t="shared" ref="H31" si="60">+E31^3-E31^2*EXP(-0.5*E31)-3*E31+1</f>
        <v>8.4947336031149234E-5</v>
      </c>
      <c r="J31" s="8"/>
      <c r="K31" s="8"/>
      <c r="L31" s="8"/>
      <c r="M31" s="8"/>
      <c r="N31" s="8"/>
      <c r="O31" s="8"/>
      <c r="Q31" s="8"/>
      <c r="R31" s="8"/>
      <c r="S31" s="8"/>
      <c r="T31" s="8"/>
      <c r="U31" s="8"/>
      <c r="V31" s="8"/>
    </row>
    <row r="32" spans="2:22">
      <c r="C32" s="7">
        <f>+C31</f>
        <v>-1.2341796875</v>
      </c>
      <c r="D32" s="7">
        <f>+E31</f>
        <v>-1.2340820312499998</v>
      </c>
      <c r="E32" s="16">
        <f>+(C32+D32)/2</f>
        <v>-1.234130859375</v>
      </c>
      <c r="F32" s="7">
        <f>+C32^3-C32^2*EXP(-0.5*C32)-3*C32+1</f>
        <v>-6.5290537252415959E-4</v>
      </c>
      <c r="G32" s="7">
        <f t="shared" ref="G32" si="61">+D32^3-D32^2*EXP(-0.5*D32)-3*D32+1</f>
        <v>8.4947336031149234E-5</v>
      </c>
      <c r="H32" s="18">
        <f t="shared" ref="H32" si="62">+E32^3-E32^2*EXP(-0.5*E32)-3*E32+1</f>
        <v>-2.8395947701653768E-4</v>
      </c>
      <c r="J32" s="8"/>
      <c r="K32" s="8"/>
      <c r="L32" s="8"/>
      <c r="M32" s="8"/>
      <c r="N32" s="8"/>
      <c r="O32" s="8"/>
      <c r="Q32" s="8"/>
      <c r="R32" s="8"/>
      <c r="S32" s="8"/>
      <c r="T32" s="8"/>
      <c r="U32" s="8"/>
      <c r="V32" s="8"/>
    </row>
    <row r="33" spans="3:16">
      <c r="H33" s="8"/>
    </row>
    <row r="34" spans="3:16">
      <c r="C34" s="17" t="s">
        <v>13</v>
      </c>
      <c r="D34" s="12"/>
      <c r="E34" s="12"/>
      <c r="F34" s="10"/>
      <c r="G34" s="11"/>
      <c r="H34" s="11"/>
    </row>
    <row r="35" spans="3:16">
      <c r="C35" s="17"/>
      <c r="D35" s="12"/>
      <c r="E35" s="12"/>
      <c r="F35" s="10"/>
      <c r="G35" s="11"/>
      <c r="H35" s="10"/>
    </row>
    <row r="36" spans="3:16">
      <c r="H36" s="13"/>
    </row>
    <row r="38" spans="3:16">
      <c r="C38" s="9" t="s">
        <v>1</v>
      </c>
      <c r="D38" s="9" t="s">
        <v>2</v>
      </c>
      <c r="E38" s="9" t="s">
        <v>14</v>
      </c>
      <c r="G38" s="9" t="s">
        <v>1</v>
      </c>
      <c r="H38" s="9" t="s">
        <v>2</v>
      </c>
      <c r="I38" s="9" t="s">
        <v>14</v>
      </c>
      <c r="K38" s="9" t="s">
        <v>1</v>
      </c>
      <c r="L38" s="9" t="s">
        <v>2</v>
      </c>
      <c r="M38" s="9" t="s">
        <v>14</v>
      </c>
    </row>
    <row r="39" spans="3:16">
      <c r="C39" s="7">
        <v>-1.5</v>
      </c>
      <c r="D39" s="7">
        <f>+C39^3-C39^2*EXP(-0.5*C39)-3*C39+1</f>
        <v>-2.6382500373785192</v>
      </c>
      <c r="E39" s="7">
        <f>3*C39^2-2*C39*EXP(-0.5*C39)+0.5*C39^2*EXP(-0.5*C39)-3</f>
        <v>12.482625068527284</v>
      </c>
      <c r="G39" s="7">
        <v>0.2</v>
      </c>
      <c r="H39" s="7">
        <f>+G39^3-G39^2*EXP(-0.5*G39)-3*G39+1</f>
        <v>0.37180650327856157</v>
      </c>
      <c r="I39" s="7">
        <f>3*G39^2-2*G39*EXP(-0.5*G39)+0.5*G39^2*EXP(-0.5*G39)-3</f>
        <v>-3.2238382188536647</v>
      </c>
      <c r="K39" s="7">
        <v>1.6</v>
      </c>
      <c r="L39" s="7">
        <f>+K39^3-K39^2*EXP(-0.5*K39)-3*K39+1</f>
        <v>-0.85428214814008729</v>
      </c>
      <c r="M39" s="7">
        <f>3*K39^2-2*K39*EXP(-0.5*K39)+0.5*K39^2*EXP(-0.5*K39)-3</f>
        <v>3.8172883888949363</v>
      </c>
    </row>
    <row r="40" spans="3:16">
      <c r="C40" s="7">
        <f>+C39-(D39/E39)</f>
        <v>-1.2886462164092074</v>
      </c>
      <c r="D40" s="7">
        <f>+C40^3-C40^2*EXP(-0.5*C40)-3*C40+1</f>
        <v>-0.43695659243000007</v>
      </c>
      <c r="E40" s="7">
        <f>3*C40^2-2*C40*EXP(-0.5*C40)+0.5*C40^2*EXP(-0.5*C40)-3</f>
        <v>8.4722680224901268</v>
      </c>
      <c r="G40" s="7">
        <f>+G39-(H39/I39)</f>
        <v>0.31533038509940148</v>
      </c>
      <c r="H40" s="7">
        <f>+G40^3-G40^2*EXP(-0.5*G40)-3*G40+1</f>
        <v>4.3367966492569021E-4</v>
      </c>
      <c r="I40" s="7">
        <f>3*G40^2-2*G40*EXP(-0.5*G40)+0.5*G40^2*EXP(-0.5*G40)-3</f>
        <v>-3.1979053810270144</v>
      </c>
      <c r="K40" s="7">
        <f>+K39-(L39/M39)</f>
        <v>1.8237929286729613</v>
      </c>
      <c r="L40" s="7">
        <f>+K40^3-K40^2*EXP(-0.5*K40)-3*K40+1</f>
        <v>0.25861126413634583</v>
      </c>
      <c r="M40" s="7">
        <f>3*K40^2-2*K40*EXP(-0.5*K40)+0.5*K40^2*EXP(-0.5*K40)-3</f>
        <v>6.181375924743536</v>
      </c>
    </row>
    <row r="41" spans="3:16">
      <c r="C41" s="7">
        <f t="shared" ref="C41:C42" si="63">+C40-(D40/E40)</f>
        <v>-1.2370712908674193</v>
      </c>
      <c r="D41" s="7">
        <f t="shared" ref="D41:D42" si="64">+C41^3-C41^2*EXP(-0.5*C41)-3*C41+1</f>
        <v>-2.2571648545151923E-2</v>
      </c>
      <c r="E41" s="7">
        <f t="shared" ref="E41:E42" si="65">3*C41^2-2*C41*EXP(-0.5*C41)+0.5*C41^2*EXP(-0.5*C41)-3</f>
        <v>7.6038787464019588</v>
      </c>
      <c r="G41" s="7">
        <f t="shared" ref="G41:G42" si="66">+G40-(H40/I40)</f>
        <v>0.3154659987631136</v>
      </c>
      <c r="H41" s="7">
        <f t="shared" ref="H41:H42" si="67">+G41^3-G41^2*EXP(-0.5*G41)-3*G41+1</f>
        <v>6.4508288710740658E-9</v>
      </c>
      <c r="I41" s="7">
        <f t="shared" ref="I41:I42" si="68">3*G41^2-2*G41*EXP(-0.5*G41)+0.5*G41^2*EXP(-0.5*G41)-3</f>
        <v>-3.1978102206048677</v>
      </c>
      <c r="K41" s="7">
        <f t="shared" ref="K41:K42" si="69">+K40-(L40/M40)</f>
        <v>1.7819557604947331</v>
      </c>
      <c r="L41" s="7">
        <f t="shared" ref="L41:L42" si="70">+K41^3-K41^2*EXP(-0.5*K41)-3*K41+1</f>
        <v>9.7871100854085569E-3</v>
      </c>
      <c r="M41" s="7">
        <f t="shared" ref="M41:M42" si="71">3*K41^2-2*K41*EXP(-0.5*K41)+0.5*K41^2*EXP(-0.5*K41)-3</f>
        <v>5.7153426647982872</v>
      </c>
    </row>
    <row r="42" spans="3:16">
      <c r="C42" s="16">
        <f t="shared" si="63"/>
        <v>-1.2341028520879567</v>
      </c>
      <c r="D42" s="18">
        <f t="shared" si="64"/>
        <v>-7.2353719620110724E-5</v>
      </c>
      <c r="E42" s="7">
        <f t="shared" si="65"/>
        <v>7.555152629633282</v>
      </c>
      <c r="G42" s="16">
        <f t="shared" si="66"/>
        <v>0.31546600078037806</v>
      </c>
      <c r="H42" s="18">
        <f t="shared" si="67"/>
        <v>0</v>
      </c>
      <c r="I42" s="7">
        <f t="shared" si="68"/>
        <v>-3.1978102191882312</v>
      </c>
      <c r="K42" s="16">
        <f t="shared" si="69"/>
        <v>1.7802433329712377</v>
      </c>
      <c r="L42" s="18">
        <f t="shared" si="70"/>
        <v>1.6134203642437228E-5</v>
      </c>
      <c r="M42" s="7">
        <f t="shared" si="71"/>
        <v>5.6965020795434747</v>
      </c>
    </row>
    <row r="45" spans="3:16">
      <c r="C45" t="s">
        <v>15</v>
      </c>
      <c r="G45" t="s">
        <v>16</v>
      </c>
    </row>
    <row r="47" spans="3:16">
      <c r="C47" s="9" t="s">
        <v>17</v>
      </c>
      <c r="D47" s="9" t="s">
        <v>1</v>
      </c>
      <c r="E47" s="9" t="s">
        <v>2</v>
      </c>
      <c r="F47" s="9" t="s">
        <v>18</v>
      </c>
      <c r="H47" s="9" t="s">
        <v>17</v>
      </c>
      <c r="I47" s="9" t="s">
        <v>1</v>
      </c>
      <c r="J47" s="9" t="s">
        <v>2</v>
      </c>
      <c r="K47" s="9" t="s">
        <v>18</v>
      </c>
      <c r="M47" s="9" t="s">
        <v>17</v>
      </c>
      <c r="N47" s="9" t="s">
        <v>1</v>
      </c>
      <c r="O47" s="9" t="s">
        <v>2</v>
      </c>
      <c r="P47" s="9" t="s">
        <v>18</v>
      </c>
    </row>
    <row r="48" spans="3:16">
      <c r="C48" s="7">
        <v>0</v>
      </c>
      <c r="D48" s="7">
        <v>-1.5</v>
      </c>
      <c r="E48" s="7">
        <f>+D48^3-D48^2*EXP(-0.5*D48)-3*D48+1</f>
        <v>-2.6382500373785192</v>
      </c>
      <c r="F48" s="7">
        <v>5.0000000000000001E-4</v>
      </c>
      <c r="H48" s="7">
        <v>0</v>
      </c>
      <c r="I48" s="7">
        <v>0.2</v>
      </c>
      <c r="J48" s="7">
        <f>+I48^3-I48^2*EXP(-0.5*I48)-3*I48+1</f>
        <v>0.37180650327856157</v>
      </c>
      <c r="K48" s="7">
        <v>5.0000000000000001E-4</v>
      </c>
      <c r="M48" s="7">
        <v>0</v>
      </c>
      <c r="N48" s="7">
        <v>1.6</v>
      </c>
      <c r="O48" s="7">
        <f>+N48^3-N48^2*EXP(-0.5*N48)-3*N48+1</f>
        <v>-0.85428214814008729</v>
      </c>
      <c r="P48" s="7">
        <v>5.0000000000000001E-4</v>
      </c>
    </row>
    <row r="49" spans="3:16">
      <c r="C49" s="7">
        <v>1</v>
      </c>
      <c r="D49" s="7">
        <v>-1.1000000000000001</v>
      </c>
      <c r="E49" s="7">
        <f>+D49^3-D49^2*EXP(-0.5*D49)-3*D49+1</f>
        <v>0.87176384838045129</v>
      </c>
      <c r="F49" s="7"/>
      <c r="H49" s="7">
        <v>1</v>
      </c>
      <c r="I49" s="7">
        <v>0.4</v>
      </c>
      <c r="J49" s="7">
        <f>+I49^3-I49^2*EXP(-0.5*I49)-3*I49+1</f>
        <v>-0.26699692049247736</v>
      </c>
      <c r="K49" s="7"/>
      <c r="M49" s="7">
        <v>1</v>
      </c>
      <c r="N49" s="7">
        <v>1.8</v>
      </c>
      <c r="O49" s="7">
        <f>+N49^3-N49^2*EXP(-0.5*N49)-3*N49+1</f>
        <v>0.11471430244045955</v>
      </c>
      <c r="P49" s="7"/>
    </row>
    <row r="50" spans="3:16">
      <c r="C50" s="7">
        <v>2</v>
      </c>
      <c r="D50" s="7">
        <f>+D49-E49*(D49-D48)/(E49-E48)</f>
        <v>-1.1993459144896745</v>
      </c>
      <c r="E50" s="7">
        <f>+D50^3-D50^2*EXP(-0.5*D50)-3*D50+1</f>
        <v>0.25272740859437803</v>
      </c>
      <c r="F50" s="7"/>
      <c r="H50" s="7">
        <v>2</v>
      </c>
      <c r="I50" s="7">
        <f>+I49-J49*(I49-I48)/(J49-J48)</f>
        <v>0.3164071729871708</v>
      </c>
      <c r="J50" s="7">
        <f>+I50^3-I50^2*EXP(-0.5*I50)-3*I50+1</f>
        <v>-3.0093779348518979E-3</v>
      </c>
      <c r="K50" s="7"/>
      <c r="M50" s="7">
        <v>2</v>
      </c>
      <c r="N50" s="7">
        <f>+N49-O49*(N49-N48)/(O49-O48)</f>
        <v>1.776323070663111</v>
      </c>
      <c r="O50" s="7">
        <f>+N50^3-N50^2*EXP(-0.5*N50)-3*N50+1</f>
        <v>-2.2231208935018287E-2</v>
      </c>
      <c r="P50" s="7"/>
    </row>
    <row r="51" spans="3:16">
      <c r="C51" s="7">
        <v>3</v>
      </c>
      <c r="D51" s="7">
        <f t="shared" ref="D51:D52" si="72">+D50-E50*(D50-D49)/(E50-E49)</f>
        <v>-1.2399048120112659</v>
      </c>
      <c r="E51" s="7">
        <f t="shared" ref="E51:E55" si="73">+D51^3-D51^2*EXP(-0.5*D51)-3*D51+1</f>
        <v>-4.4183445191996018E-2</v>
      </c>
      <c r="F51" s="7"/>
      <c r="H51" s="7">
        <v>3</v>
      </c>
      <c r="I51" s="7">
        <f t="shared" ref="I51:I52" si="74">+I50-J50*(I50-I49)/(J50-J49)</f>
        <v>0.31545424010750894</v>
      </c>
      <c r="J51" s="7">
        <f t="shared" ref="J51:J52" si="75">+I51^3-I51^2*EXP(-0.5*I51)-3*I51+1</f>
        <v>3.7608448448800402E-5</v>
      </c>
      <c r="K51" s="7"/>
      <c r="M51" s="7">
        <v>3</v>
      </c>
      <c r="N51" s="7">
        <f t="shared" ref="N51:N52" si="76">+N50-O50*(N50-N49)/(O50-O49)</f>
        <v>1.7801666925368127</v>
      </c>
      <c r="O51" s="7">
        <f t="shared" ref="O51:O52" si="77">+N51^3-N51^2*EXP(-0.5*N51)-3*N51+1</f>
        <v>-4.2041589442742833E-4</v>
      </c>
      <c r="P51" s="7"/>
    </row>
    <row r="52" spans="3:16">
      <c r="C52" s="7">
        <v>4</v>
      </c>
      <c r="D52" s="7">
        <f t="shared" si="72"/>
        <v>-1.233869223204592</v>
      </c>
      <c r="E52" s="7">
        <f t="shared" si="73"/>
        <v>1.6923008292675235E-3</v>
      </c>
      <c r="F52" s="7"/>
      <c r="H52" s="7">
        <v>4</v>
      </c>
      <c r="I52" s="7">
        <f t="shared" si="74"/>
        <v>0.31546600200026842</v>
      </c>
      <c r="J52" s="7">
        <f t="shared" si="75"/>
        <v>-3.9009779850829318E-9</v>
      </c>
      <c r="K52" s="7"/>
      <c r="M52" s="7">
        <v>4</v>
      </c>
      <c r="N52" s="7">
        <f t="shared" si="76"/>
        <v>1.7802407806144385</v>
      </c>
      <c r="O52" s="7">
        <f t="shared" si="77"/>
        <v>1.594733647358737E-6</v>
      </c>
      <c r="P52" s="7"/>
    </row>
    <row r="53" spans="3:16">
      <c r="C53" s="7">
        <v>5</v>
      </c>
      <c r="D53" s="16">
        <f>+D52-E52*(D52-D51)/(E52-E51)</f>
        <v>-1.2340918687815798</v>
      </c>
      <c r="E53" s="7">
        <f>+D53^3-D53^2*EXP(-0.5*D53)-3*D53+1</f>
        <v>1.0625847733702898E-5</v>
      </c>
      <c r="F53" s="7"/>
      <c r="H53" s="7">
        <v>5</v>
      </c>
      <c r="I53" s="16">
        <f>+I52-J52*(I52-I51)/(J52-J51)</f>
        <v>0.31546600078037962</v>
      </c>
      <c r="J53" s="7">
        <f>+I53^3-I53^2*EXP(-0.5*I53)-3*I53+1</f>
        <v>-5.1070259132757201E-15</v>
      </c>
      <c r="K53" s="7"/>
      <c r="M53" s="7">
        <v>5</v>
      </c>
      <c r="N53" s="16">
        <f>+N52-O52*(N52-N51)/(O52-O51)</f>
        <v>1.7802405006434083</v>
      </c>
      <c r="O53" s="7">
        <f>+N53^3-N53^2*EXP(-0.5*N53)-3*N53+1</f>
        <v>-1.1361844798329912E-10</v>
      </c>
      <c r="P53" s="7"/>
    </row>
    <row r="54" spans="3:16">
      <c r="C54" s="8"/>
      <c r="D54" s="8"/>
      <c r="E54" s="8"/>
      <c r="F54" s="8"/>
    </row>
    <row r="55" spans="3:16">
      <c r="C55" s="8"/>
      <c r="D55" s="8"/>
      <c r="E55" s="8"/>
      <c r="F55" s="8"/>
    </row>
    <row r="56" spans="3:16">
      <c r="C56" t="s">
        <v>19</v>
      </c>
      <c r="E56" s="9">
        <v>1</v>
      </c>
      <c r="F56" s="9">
        <v>2</v>
      </c>
      <c r="G56" s="9">
        <v>3</v>
      </c>
    </row>
    <row r="57" spans="3:16">
      <c r="C57" s="21" t="s">
        <v>20</v>
      </c>
      <c r="D57" s="21"/>
      <c r="E57" s="23">
        <f>+E32</f>
        <v>-1.234130859375</v>
      </c>
      <c r="F57" s="24">
        <f>+L30</f>
        <v>0.31542968750000006</v>
      </c>
      <c r="G57" s="24">
        <f>+S30</f>
        <v>1.7802734375</v>
      </c>
    </row>
    <row r="58" spans="3:16">
      <c r="C58" s="21" t="s">
        <v>21</v>
      </c>
      <c r="D58" s="21"/>
      <c r="E58" s="22">
        <f>+C42</f>
        <v>-1.2341028520879567</v>
      </c>
      <c r="F58" s="6">
        <f>+G42</f>
        <v>0.31546600078037806</v>
      </c>
      <c r="G58" s="6">
        <f>+K42</f>
        <v>1.7802433329712377</v>
      </c>
    </row>
    <row r="59" spans="3:16">
      <c r="C59" s="25" t="s">
        <v>22</v>
      </c>
      <c r="D59" s="25"/>
      <c r="E59" s="22">
        <f>+D53</f>
        <v>-1.2340918687815798</v>
      </c>
      <c r="F59" s="6">
        <f>+I53</f>
        <v>0.31546600078037962</v>
      </c>
      <c r="G59" s="6">
        <f>+N53</f>
        <v>1.7802405006434083</v>
      </c>
    </row>
  </sheetData>
  <mergeCells count="1">
    <mergeCell ref="C59:D5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5DC4-BFBF-406A-A7F7-967366061DF8}">
  <dimension ref="B8:K49"/>
  <sheetViews>
    <sheetView tabSelected="1" workbookViewId="0">
      <selection activeCell="T16" sqref="T16"/>
    </sheetView>
  </sheetViews>
  <sheetFormatPr defaultRowHeight="15"/>
  <sheetData>
    <row r="8" spans="2:8">
      <c r="B8" s="1"/>
      <c r="C8" s="3" t="s">
        <v>1</v>
      </c>
      <c r="D8" s="3" t="s">
        <v>2</v>
      </c>
      <c r="E8" s="1"/>
      <c r="F8" s="1" t="s">
        <v>4</v>
      </c>
      <c r="G8" s="1"/>
      <c r="H8" s="1"/>
    </row>
    <row r="9" spans="2:8">
      <c r="B9" s="1" t="s">
        <v>3</v>
      </c>
      <c r="C9" s="4">
        <v>3.6</v>
      </c>
      <c r="D9" s="4">
        <f>+COS(C9)^2-0.5*C9*EXP(0.3*C9)+5</f>
        <v>0.50375246534818441</v>
      </c>
      <c r="E9" s="1"/>
      <c r="F9" s="1"/>
      <c r="G9" s="1"/>
      <c r="H9" s="1"/>
    </row>
    <row r="10" spans="2:8">
      <c r="B10" s="1" t="s">
        <v>5</v>
      </c>
      <c r="C10" s="4">
        <v>3.9</v>
      </c>
      <c r="D10" s="4">
        <f>+COS(C10)^2-0.5*C10*EXP(0.3*C10)+5</f>
        <v>-0.75590793484924923</v>
      </c>
      <c r="E10" s="1"/>
      <c r="F10" s="1" t="s">
        <v>6</v>
      </c>
      <c r="G10" s="1"/>
      <c r="H10" s="1"/>
    </row>
    <row r="11" spans="2:8">
      <c r="B11" s="1"/>
      <c r="C11" s="1"/>
      <c r="D11" s="1"/>
      <c r="E11" s="1"/>
      <c r="F11" s="1" t="s">
        <v>7</v>
      </c>
      <c r="G11" s="1"/>
      <c r="H11" s="1"/>
    </row>
    <row r="12" spans="2:8">
      <c r="B12" s="1"/>
      <c r="C12" s="10"/>
      <c r="D12" s="11"/>
      <c r="E12" s="1"/>
    </row>
    <row r="13" spans="2:8">
      <c r="C13" t="s">
        <v>8</v>
      </c>
    </row>
    <row r="14" spans="2:8">
      <c r="C14" s="9" t="s">
        <v>3</v>
      </c>
      <c r="D14" s="9" t="s">
        <v>5</v>
      </c>
      <c r="E14" s="9" t="s">
        <v>9</v>
      </c>
      <c r="F14" s="9" t="s">
        <v>10</v>
      </c>
      <c r="G14" s="9" t="s">
        <v>11</v>
      </c>
      <c r="H14" s="9" t="s">
        <v>12</v>
      </c>
    </row>
    <row r="15" spans="2:8">
      <c r="C15" s="7">
        <v>3.6</v>
      </c>
      <c r="D15" s="7">
        <v>3.9</v>
      </c>
      <c r="E15" s="7">
        <f>+(C15+D15)/2</f>
        <v>3.75</v>
      </c>
      <c r="F15" s="7">
        <f>+COS(C15)^2-0.5*C15*EXP(0.3*C15)+5</f>
        <v>0.50375246534818441</v>
      </c>
      <c r="G15" s="7">
        <f>+COS(D15)^2-0.5*D15*EXP(0.3*D15)+5</f>
        <v>-0.75590793484924923</v>
      </c>
      <c r="H15" s="7">
        <f t="shared" ref="G15:H15" si="0">+COS(E15)^2-0.5*E15*EXP(0.3*E15)+5</f>
        <v>-0.10208893280379527</v>
      </c>
    </row>
    <row r="16" spans="2:8">
      <c r="C16" s="7">
        <f>+C15</f>
        <v>3.6</v>
      </c>
      <c r="D16" s="7">
        <f>+E15</f>
        <v>3.75</v>
      </c>
      <c r="E16" s="7">
        <f>+(C16+D16)/2</f>
        <v>3.6749999999999998</v>
      </c>
      <c r="F16" s="7">
        <f>+COS(C16)^2-0.5*C16*EXP(0.3*C16)+5</f>
        <v>0.50375246534818441</v>
      </c>
      <c r="G16" s="7">
        <f>+COS(D16)^2-0.5*D16*EXP(0.3*D16)+5</f>
        <v>-0.10208893280379527</v>
      </c>
      <c r="H16" s="7">
        <f t="shared" ref="H16" si="1">+COS(E16)^2-0.5*E16*EXP(0.3*E16)+5</f>
        <v>0.20748524928491108</v>
      </c>
    </row>
    <row r="17" spans="2:8">
      <c r="C17" s="7">
        <f>+E16</f>
        <v>3.6749999999999998</v>
      </c>
      <c r="D17" s="7">
        <f>+D16</f>
        <v>3.75</v>
      </c>
      <c r="E17" s="7">
        <f>+(C17+D17)/2</f>
        <v>3.7124999999999999</v>
      </c>
      <c r="F17" s="7">
        <f>+COS(C17)^2-0.5*C17*EXP(0.3*C17)+5</f>
        <v>0.20748524928491108</v>
      </c>
      <c r="G17" s="7">
        <f>+COS(D17)^2-0.5*D17*EXP(0.3*D17)+5</f>
        <v>-0.10208893280379527</v>
      </c>
      <c r="H17" s="7">
        <f t="shared" ref="H17" si="2">+COS(E17)^2-0.5*E17*EXP(0.3*E17)+5</f>
        <v>5.4283061225259388E-2</v>
      </c>
    </row>
    <row r="18" spans="2:8">
      <c r="C18" s="7">
        <f>+E17</f>
        <v>3.7124999999999999</v>
      </c>
      <c r="D18" s="7">
        <f>+D17</f>
        <v>3.75</v>
      </c>
      <c r="E18" s="7">
        <f>+(C18+D18)/2</f>
        <v>3.7312500000000002</v>
      </c>
      <c r="F18" s="7">
        <f>+COS(C18)^2-0.5*C18*EXP(0.3*C18)+5</f>
        <v>5.4283061225259388E-2</v>
      </c>
      <c r="G18" s="7">
        <f>+COS(D18)^2-0.5*D18*EXP(0.3*D18)+5</f>
        <v>-0.10208893280379527</v>
      </c>
      <c r="H18" s="7">
        <f t="shared" ref="H18" si="3">+COS(E18)^2-0.5*E18*EXP(0.3*E18)+5</f>
        <v>-2.3516884664720905E-2</v>
      </c>
    </row>
    <row r="19" spans="2:8">
      <c r="C19" s="7">
        <f>+C18</f>
        <v>3.7124999999999999</v>
      </c>
      <c r="D19" s="7">
        <f>+E18</f>
        <v>3.7312500000000002</v>
      </c>
      <c r="E19" s="7">
        <f>+(C19+D19)/2</f>
        <v>3.7218749999999998</v>
      </c>
      <c r="F19" s="7">
        <f>+COS(C19)^2-0.5*C19*EXP(0.3*C19)+5</f>
        <v>5.4283061225259388E-2</v>
      </c>
      <c r="G19" s="7">
        <f>+COS(D19)^2-0.5*D19*EXP(0.3*D19)+5</f>
        <v>-2.3516884664720905E-2</v>
      </c>
      <c r="H19" s="7">
        <f t="shared" ref="H19" si="4">+COS(E19)^2-0.5*E19*EXP(0.3*E19)+5</f>
        <v>1.5480887537868249E-2</v>
      </c>
    </row>
    <row r="20" spans="2:8">
      <c r="C20" s="7">
        <f>+E19</f>
        <v>3.7218749999999998</v>
      </c>
      <c r="D20" s="7">
        <f>+D19</f>
        <v>3.7312500000000002</v>
      </c>
      <c r="E20" s="7">
        <f>+(C20+D20)/2</f>
        <v>3.7265625</v>
      </c>
      <c r="F20" s="7">
        <f>+COS(C20)^2-0.5*C20*EXP(0.3*C20)+5</f>
        <v>1.5480887537868249E-2</v>
      </c>
      <c r="G20" s="7">
        <f>+COS(D20)^2-0.5*D20*EXP(0.3*D20)+5</f>
        <v>-2.3516884664720905E-2</v>
      </c>
      <c r="H20" s="7">
        <f t="shared" ref="H20" si="5">+COS(E20)^2-0.5*E20*EXP(0.3*E20)+5</f>
        <v>-3.9937086888297557E-3</v>
      </c>
    </row>
    <row r="21" spans="2:8">
      <c r="B21" s="1"/>
      <c r="C21" s="6">
        <f>+C20</f>
        <v>3.7218749999999998</v>
      </c>
      <c r="D21" s="6">
        <f>+E20</f>
        <v>3.7265625</v>
      </c>
      <c r="E21" s="7">
        <f>+(C21+D21)/2</f>
        <v>3.7242187499999999</v>
      </c>
      <c r="F21" s="7">
        <f>+COS(C21)^2-0.5*C21*EXP(0.3*C21)+5</f>
        <v>1.5480887537868249E-2</v>
      </c>
      <c r="G21" s="7">
        <f>+COS(D21)^2-0.5*D21*EXP(0.3*D21)+5</f>
        <v>-3.9937086888297557E-3</v>
      </c>
      <c r="H21" s="7">
        <f t="shared" ref="H21" si="6">+COS(E21)^2-0.5*E21*EXP(0.3*E21)+5</f>
        <v>5.7496819414444289E-3</v>
      </c>
    </row>
    <row r="22" spans="2:8">
      <c r="B22" s="1"/>
      <c r="C22" s="6">
        <f>+E21</f>
        <v>3.7242187499999999</v>
      </c>
      <c r="D22" s="6">
        <f>+D21</f>
        <v>3.7265625</v>
      </c>
      <c r="E22" s="7">
        <f>+(C22+D22)/2</f>
        <v>3.7253906250000002</v>
      </c>
      <c r="F22" s="7">
        <f>+COS(C22)^2-0.5*C22*EXP(0.3*C22)+5</f>
        <v>5.7496819414444289E-3</v>
      </c>
      <c r="G22" s="7">
        <f>+COS(D22)^2-0.5*D22*EXP(0.3*D22)+5</f>
        <v>-3.9937086888297557E-3</v>
      </c>
      <c r="H22" s="7">
        <f t="shared" ref="H22" si="7">+COS(E22)^2-0.5*E22*EXP(0.3*E22)+5</f>
        <v>8.7950725294572152E-4</v>
      </c>
    </row>
    <row r="23" spans="2:8">
      <c r="B23" s="1"/>
      <c r="C23" s="14">
        <f>+E22</f>
        <v>3.7253906250000002</v>
      </c>
      <c r="D23" s="14">
        <f>+D22</f>
        <v>3.7265625</v>
      </c>
      <c r="E23" s="7">
        <f>+(C23+D23)/2</f>
        <v>3.7259765625000001</v>
      </c>
      <c r="F23" s="7">
        <f>+COS(C23)^2-0.5*C23*EXP(0.3*C23)+5</f>
        <v>8.7950725294572152E-4</v>
      </c>
      <c r="G23" s="7">
        <f>+COS(D23)^2-0.5*D23*EXP(0.3*D23)+5</f>
        <v>-3.9937086888297557E-3</v>
      </c>
      <c r="H23" s="7">
        <f t="shared" ref="H23" si="8">+COS(E23)^2-0.5*E23*EXP(0.3*E23)+5</f>
        <v>-1.5567208744080574E-3</v>
      </c>
    </row>
    <row r="24" spans="2:8">
      <c r="B24" s="1"/>
      <c r="C24" s="4">
        <f>+C23</f>
        <v>3.7253906250000002</v>
      </c>
      <c r="D24" s="4">
        <f>+E23</f>
        <v>3.7259765625000001</v>
      </c>
      <c r="E24" s="19">
        <f>+(C24+D24)/2</f>
        <v>3.7256835937500004</v>
      </c>
      <c r="F24" s="7">
        <f>+COS(C24)^2-0.5*C24*EXP(0.3*C24)+5</f>
        <v>8.7950725294572152E-4</v>
      </c>
      <c r="G24" s="7">
        <f>+COS(D24)^2-0.5*D24*EXP(0.3*D24)+5</f>
        <v>-1.5567208744080574E-3</v>
      </c>
      <c r="H24" s="18">
        <f t="shared" ref="H24" si="9">+COS(E24)^2-0.5*E24*EXP(0.3*E24)+5</f>
        <v>-3.3851181069355363E-4</v>
      </c>
    </row>
    <row r="25" spans="2:8">
      <c r="B25" s="1"/>
      <c r="C25" s="10"/>
      <c r="D25" s="10"/>
      <c r="E25" s="8"/>
      <c r="F25" s="8"/>
      <c r="G25" s="8"/>
      <c r="H25" s="8"/>
    </row>
    <row r="26" spans="2:8">
      <c r="B26" s="1"/>
      <c r="C26" s="10"/>
      <c r="D26" s="10"/>
      <c r="E26" s="8"/>
      <c r="F26" s="8"/>
      <c r="G26" s="8"/>
      <c r="H26" s="8"/>
    </row>
    <row r="27" spans="2:8">
      <c r="B27" s="1"/>
      <c r="C27" s="20" t="s">
        <v>23</v>
      </c>
      <c r="D27" s="10"/>
      <c r="E27" s="8"/>
      <c r="F27" s="8"/>
      <c r="G27" s="8"/>
      <c r="H27" s="8"/>
    </row>
    <row r="31" spans="2:8">
      <c r="C31" s="9" t="s">
        <v>1</v>
      </c>
      <c r="D31" s="9" t="s">
        <v>2</v>
      </c>
      <c r="E31" s="9" t="s">
        <v>14</v>
      </c>
    </row>
    <row r="32" spans="2:8">
      <c r="C32" s="7">
        <v>3.6</v>
      </c>
      <c r="D32" s="7">
        <f>+COS(C32)^2-0.5*C32*EXP(0.3*C32)+5</f>
        <v>0.50375246534818441</v>
      </c>
      <c r="E32" s="7">
        <f>+-SIN(2*C32)-0.5*EXP(0.3*C32)-0.15*C32*EXP(0.3*C32)</f>
        <v>-3.8561345969572982</v>
      </c>
    </row>
    <row r="33" spans="3:11">
      <c r="C33" s="7">
        <f>+C32-(D32/E32)</f>
        <v>3.7306366395368236</v>
      </c>
      <c r="D33" s="7">
        <f>+COS(C33)^2-0.5*C33*EXP(0.3*C33)+5</f>
        <v>-2.0959521488054911E-2</v>
      </c>
      <c r="E33" s="7">
        <f>+-SIN(2*C33)-0.5*EXP(0.3*C33)-0.15*C33*EXP(0.3*C33)</f>
        <v>-4.1687554971637173</v>
      </c>
    </row>
    <row r="34" spans="3:11">
      <c r="C34" s="16">
        <f>+C33-(D33/E33)</f>
        <v>3.7256088748952378</v>
      </c>
      <c r="D34" s="7">
        <f>+COS(C34)^2-0.5*C34*EXP(0.3*C34)+5</f>
        <v>-2.7849740532381873E-5</v>
      </c>
      <c r="E34" s="7">
        <f>+-SIN(2*C34)-0.5*EXP(0.3*C34)-0.15*C34*EXP(0.3*C34)</f>
        <v>-4.1576639709611616</v>
      </c>
    </row>
    <row r="36" spans="3:11">
      <c r="C36" t="s">
        <v>15</v>
      </c>
      <c r="G36" t="s">
        <v>16</v>
      </c>
    </row>
    <row r="38" spans="3:11">
      <c r="C38" s="9" t="s">
        <v>17</v>
      </c>
      <c r="D38" s="9" t="s">
        <v>1</v>
      </c>
      <c r="E38" s="9" t="s">
        <v>2</v>
      </c>
      <c r="F38" s="9" t="s">
        <v>18</v>
      </c>
      <c r="H38" s="8"/>
      <c r="I38" s="8"/>
      <c r="J38" s="8"/>
      <c r="K38" s="8"/>
    </row>
    <row r="39" spans="3:11">
      <c r="C39" s="7">
        <v>0</v>
      </c>
      <c r="D39" s="7">
        <v>3.6</v>
      </c>
      <c r="E39" s="7">
        <f>+COS(D39)^2-0.5*D39*EXP(0.3*D39)+5</f>
        <v>0.50375246534818441</v>
      </c>
      <c r="F39" s="7">
        <v>5.0000000000000001E-4</v>
      </c>
      <c r="H39" s="8"/>
      <c r="I39" s="8"/>
      <c r="J39" s="8"/>
      <c r="K39" s="8"/>
    </row>
    <row r="40" spans="3:11">
      <c r="C40" s="7">
        <v>1</v>
      </c>
      <c r="D40" s="7">
        <v>3.9</v>
      </c>
      <c r="E40" s="7">
        <f>+COS(D40)^2-0.5*D40*EXP(0.3*D40)+5</f>
        <v>-0.75590793484924923</v>
      </c>
      <c r="F40" s="7"/>
      <c r="H40" s="8"/>
      <c r="I40" s="8"/>
      <c r="J40" s="8"/>
      <c r="K40" s="8"/>
    </row>
    <row r="41" spans="3:11">
      <c r="C41" s="7">
        <v>2</v>
      </c>
      <c r="D41" s="7">
        <f>+D40-E40*(D40-D39)/(E40-E39)</f>
        <v>3.7199733988468386</v>
      </c>
      <c r="E41" s="7">
        <f>+COS(D41)^2-0.5*D41*EXP(0.3*D41)+5</f>
        <v>2.3367318164809525E-2</v>
      </c>
      <c r="F41" s="7"/>
      <c r="H41" s="8"/>
      <c r="I41" s="8"/>
      <c r="J41" s="8"/>
      <c r="K41" s="8"/>
    </row>
    <row r="42" spans="3:11">
      <c r="C42" s="7">
        <v>3</v>
      </c>
      <c r="D42" s="7">
        <f t="shared" ref="D42:D43" si="10">+D41-E41*(D41-D40)/(E41-E40)</f>
        <v>3.7253716696773371</v>
      </c>
      <c r="E42" s="7">
        <f t="shared" ref="E42:E43" si="11">+COS(D42)^2-0.5*D42*EXP(0.3*D42)+5</f>
        <v>9.5830755690506919E-4</v>
      </c>
      <c r="F42" s="7"/>
      <c r="H42" s="8"/>
      <c r="I42" s="8"/>
      <c r="J42" s="8"/>
      <c r="K42" s="8"/>
    </row>
    <row r="43" spans="3:11">
      <c r="C43" s="7">
        <v>4</v>
      </c>
      <c r="D43" s="16">
        <f t="shared" si="10"/>
        <v>3.7256025234094183</v>
      </c>
      <c r="E43" s="7">
        <f t="shared" si="11"/>
        <v>-1.4424414338520819E-6</v>
      </c>
      <c r="F43" s="7"/>
      <c r="H43" s="8"/>
      <c r="I43" s="8"/>
      <c r="J43" s="8"/>
      <c r="K43" s="8"/>
    </row>
    <row r="46" spans="3:11">
      <c r="C46" t="s">
        <v>19</v>
      </c>
      <c r="E46" s="9">
        <v>1</v>
      </c>
    </row>
    <row r="47" spans="3:11">
      <c r="C47" s="21" t="s">
        <v>20</v>
      </c>
      <c r="D47" s="21"/>
      <c r="E47" s="24">
        <f>+E24</f>
        <v>3.7256835937500004</v>
      </c>
    </row>
    <row r="48" spans="3:11">
      <c r="C48" s="21" t="s">
        <v>21</v>
      </c>
      <c r="D48" s="21"/>
      <c r="E48" s="6">
        <f>+C34</f>
        <v>3.7256088748952378</v>
      </c>
    </row>
    <row r="49" spans="3:5">
      <c r="C49" s="25" t="s">
        <v>22</v>
      </c>
      <c r="D49" s="25"/>
      <c r="E49" s="6">
        <f>+D43</f>
        <v>3.7256025234094183</v>
      </c>
    </row>
  </sheetData>
  <mergeCells count="1">
    <mergeCell ref="C49:D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2025-11-11T14:26:43Z</dcterms:created>
  <dcterms:modified xsi:type="dcterms:W3CDTF">2025-11-17T21:08:37Z</dcterms:modified>
  <cp:category/>
  <cp:contentStatus/>
</cp:coreProperties>
</file>